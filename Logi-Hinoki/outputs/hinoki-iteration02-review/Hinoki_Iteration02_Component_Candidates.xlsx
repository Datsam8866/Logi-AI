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4a1b56dc5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12e442be4e4956"/>
    <x:sheet xmlns:r="http://schemas.openxmlformats.org/officeDocument/2006/relationships" name="Candidates" sheetId="2" r:id="Rb0ca12383e19483e"/>
    <x:sheet xmlns:r="http://schemas.openxmlformats.org/officeDocument/2006/relationships" name="Requirements" sheetId="3" r:id="R6bb2dd7a3d19423b"/>
    <x:sheet xmlns:r="http://schemas.openxmlformats.org/officeDocument/2006/relationships" name="CAD Envelopes" sheetId="4" r:id="R8fde59b7546d46b0"/>
    <x:sheet xmlns:r="http://schemas.openxmlformats.org/officeDocument/2006/relationships" name="Sources" sheetId="5" r:id="R2232a56443d348f7"/>
    <x:sheet xmlns:r="http://schemas.openxmlformats.org/officeDocument/2006/relationships" name="Scoring Guide" sheetId="6" r:id="Rca68f35726d2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"/>
    <x:numFmt numFmtId="202" formatCode="0.0"/>
    <x:numFmt numFmtId="203" formatCode="0.00"/>
    <x:numFmt numFmtId="204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A61B1B"/>
      <x:name val="Carlito"/>
    </x:font>
    <x:font>
      <x:b/>
      <x:sz val="11"/>
      <x:color rgb="FF7A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D9F0EC"/>
      </x:patternFill>
    </x:fill>
    <x:fill>
      <x:patternFill patternType="solid">
        <x:fgColor rgb="FFFFF3CD"/>
      </x:patternFill>
    </x:fill>
    <x:fill>
      <x:patternFill patternType="solid">
        <x:fgColor rgb="FFFCE8E6"/>
      </x:patternFill>
    </x:fill>
  </x:fills>
  <x:borders count="13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right style="thin">
        <x:color rgb="FFE5E7EB"/>
      </x:right>
      <x:top style="thin">
        <x:color rgb="FF0F766E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0F766E"/>
      </x:top>
      <x:bottom style="thin">
        <x:color rgb="FFE5E7EB"/>
      </x:bottom>
    </x:border>
    <x:border>
      <x:left style="thin">
        <x:color rgb="FFE5E7EB"/>
      </x:left>
      <x:top style="thin">
        <x:color rgb="FF0F766E"/>
      </x:top>
      <x:bottom style="thin">
        <x:color rgb="FFE5E7EB"/>
      </x:bottom>
    </x:border>
    <x:border>
      <x:left style="thin">
        <x:color rgb="FF0F766E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left style="thin">
        <x:color rgb="FF0F766E"/>
      </x:left>
      <x:right style="thin">
        <x:color rgb="FFE5E7EB"/>
      </x:right>
      <x:top style="thin">
        <x:color rgb="FFE5E7EB"/>
      </x:top>
      <x:bottom style="thin">
        <x:color rgb="FF0F766E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0F766E"/>
      </x:bottom>
    </x:border>
    <x:border>
      <x:left style="thin">
        <x:color rgb="FFE5E7EB"/>
      </x:left>
      <x:top style="thin">
        <x:color rgb="FFE5E7EB"/>
      </x:top>
      <x:bottom style="thin">
        <x:color rgb="FF0F766E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5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201" fontId="0" fillId="5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4" fontId="0" fillId="0" borderId="12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0" fillId="0" borderId="10" xfId="0" applyNumberFormat="1" applyFont="1" applyFill="1" applyBorder="1"/>
    <x:xf numFmtId="202" fontId="0" fillId="0" borderId="12" xfId="0" applyNumberFormat="1" applyFont="1" applyFill="1" applyBorder="1"/>
    <x:xf numFmtId="0" fontId="0" fillId="0" borderId="8" xfId="0" applyNumberFormat="1" applyFont="1" applyFill="1" applyBorder="1"/>
    <x:xf numFmtId="0" fontId="4" fillId="4" borderId="7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76B2C"/>
      </x:font>
      <x:fill>
        <x:patternFill patternType="solid">
          <x:bgColor rgb="FFDFF2E1"/>
        </x:patternFill>
      </x:fill>
    </x:dxf>
    <x:dxf>
      <x:font>
        <x:b/>
        <x:color rgb="FF1F4E79"/>
      </x:font>
      <x:fill>
        <x:patternFill patternType="solid">
          <x:bgColor rgb="FFE7F0F8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176B2C"/>
      </x:font>
      <x:fill>
        <x:patternFill patternType="solid">
          <x:bgColor rgb="FFDFF2E1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5149e185c4225" /><Relationship Type="http://schemas.openxmlformats.org/officeDocument/2006/relationships/theme" Target="/xl/theme/theme1.xml" Id="R0e9278ac54034dc0" /><Relationship Type="http://schemas.microsoft.com/office/2022/11/relationships/FeaturePropertyBag" Target="/xl/featurePropertyBag/featurePropertyBag.xml" Id="Refa3befd201e47ee" /><Relationship Type="http://schemas.openxmlformats.org/officeDocument/2006/relationships/sharedStrings" Target="/xl/sharedStrings.xml" Id="Rc43770efbab945f5" /><Relationship Type="http://schemas.openxmlformats.org/officeDocument/2006/relationships/worksheet" Target="/xl/worksheets/sheet1.xml" Id="R6312e442be4e4956" /><Relationship Type="http://schemas.openxmlformats.org/officeDocument/2006/relationships/worksheet" Target="/xl/worksheets/sheet2.xml" Id="Rb0ca12383e19483e" /><Relationship Type="http://schemas.openxmlformats.org/officeDocument/2006/relationships/worksheet" Target="/xl/worksheets/sheet3.xml" Id="R6bb2dd7a3d19423b" /><Relationship Type="http://schemas.openxmlformats.org/officeDocument/2006/relationships/worksheet" Target="/xl/worksheets/sheet4.xml" Id="R8fde59b7546d46b0" /><Relationship Type="http://schemas.openxmlformats.org/officeDocument/2006/relationships/worksheet" Target="/xl/worksheets/sheet5.xml" Id="R2232a56443d348f7" /><Relationship Type="http://schemas.openxmlformats.org/officeDocument/2006/relationships/worksheet" Target="/xl/worksheets/sheet6.xml" Id="Rca68f35726d242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nokiCandidates" displayName="HinokiCandidates" ref="A4:Y14" headerRowCount="1" totalsRowCount="0" totalsRowShown="0">
  <x:tableColumns count="25">
    <x:tableColumn id="1" name="Subsystem"/>
    <x:tableColumn id="2" name="Manufacturer"/>
    <x:tableColumn id="3" name="Part Number"/>
    <x:tableColumn id="4" name="Candidate Type"/>
    <x:tableColumn id="5" name="Width mm"/>
    <x:tableColumn id="6" name="Height mm"/>
    <x:tableColumn id="7" name="Depth mm"/>
    <x:tableColumn id="8" name="Mass kg"/>
    <x:tableColumn id="9" name="Resolution / Performance"/>
    <x:tableColumn id="10" name="Touch / HFOV"/>
    <x:tableColumn id="11" name="Interface / VESA"/>
    <x:tableColumn id="12" name="CAD Availability"/>
    <x:tableColumn id="13" name="Hard Gap"/>
    <x:tableColumn id="14" name="Verification"/>
    <x:tableColumn id="15" name="Recommendation"/>
    <x:tableColumn id="16" name="Rationale"/>
    <x:tableColumn id="17" name="Spec Fit"/>
    <x:tableColumn id="18" name="CAD Fit"/>
    <x:tableColumn id="19" name="Interface Fit"/>
    <x:tableColumn id="20" name="Thermal / Power"/>
    <x:tableColumn id="21" name="Docs"/>
    <x:tableColumn id="22" name="Availability"/>
    <x:tableColumn id="23" name="Weighted Score"/>
    <x:tableColumn id="24" name="Source URL"/>
    <x:tableColumn id="25" name="Access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962660029b4f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" hidden="0" customWidth="1"/>
    <x:col min="4" max="4" width="21" hidden="0" customWidth="1"/>
    <x:col min="5" max="5" width="34" hidden="0" customWidth="1"/>
    <x:col min="6" max="6" width="42" hidden="0" customWidth="1"/>
    <x:col min="7" max="7" width="30" hidden="0" customWidth="1"/>
    <x:col min="8" max="8" width="46" hidden="0" customWidth="1"/>
  </x:cols>
  <x:sheetData>
    <x:row r="1" ht="34" customHeight="1">
      <x:c r="A1" s="3" t="str">
        <x:v>Hinoki Iteration 02 — Preliminary Review Baseline</x:v>
      </x:c>
    </x:row>
    <x:row r="2">
      <x:c r="A2" s="4" t="str">
        <x:v>Decision view for the first CAD-driving wave. This is concept evidence, not release authority.</x:v>
      </x:c>
    </x:row>
    <x:row r="4" ht="30" customHeight="1">
      <x:c r="A4" s="30" t="str">
        <x:v>Review Metric</x:v>
      </x:c>
      <x:c r="B4" s="32" t="str">
        <x:v>Formula Result</x:v>
      </x:c>
      <x:c r="C4" s="20"/>
      <x:c r="D4" s="30" t="str">
        <x:v>Subsystem</x:v>
      </x:c>
      <x:c r="E4" s="31" t="str">
        <x:v>Review Baseline</x:v>
      </x:c>
      <x:c r="F4" s="31" t="str">
        <x:v>Why</x:v>
      </x:c>
      <x:c r="G4" s="31" t="str">
        <x:v>CAD State</x:v>
      </x:c>
      <x:c r="H4" s="32" t="str">
        <x:v>Blocking Evidence</x:v>
      </x:c>
    </x:row>
    <x:row r="5">
      <x:c r="A5" s="33" t="str">
        <x:v>Total candidates</x:v>
      </x:c>
      <x:c r="B5" s="58" t="n">
        <x:f>COUNTA('Candidates'!$C$5:$C$14)</x:f>
        <x:v>10</x:v>
      </x:c>
      <x:c r="C5" s="20"/>
      <x:c r="D5" s="33" t="str">
        <x:v>Panel / Touch</x:v>
      </x:c>
      <x:c r="E5" s="34" t="str">
        <x:v>One World Touch LM-3237-26B-4K</x:v>
      </x:c>
      <x:c r="F5" s="34" t="str">
        <x:v>750.4 × 452.7 × 56.5 mm published 4K PCAP envelope fits</x:v>
      </x:c>
      <x:c r="G5" s="34" t="str">
        <x:v>Adopted as external review proxy</x:v>
      </x:c>
      <x:c r="H5" s="58" t="str">
        <x:v>Bare panel/touch stack and internal decomposition</x:v>
      </x:c>
    </x:row>
    <x:row r="6">
      <x:c r="A6" s="33" t="str">
        <x:v>Preferred</x:v>
      </x:c>
      <x:c r="B6" s="58" t="n">
        <x:f>COUNTIF('Candidates'!$O$5:$O$14,"Preferred")</x:f>
        <x:v>3</x:v>
      </x:c>
      <x:c r="C6" s="20"/>
      <x:c r="D6" s="33" t="str">
        <x:v>Camera / Shutter</x:v>
      </x:c>
      <x:c r="E6" s="34" t="str">
        <x:v>Leopard Imaging LI-IMX477-MIPI-140H</x:v>
      </x:c>
      <x:c r="F6" s="34" t="str">
        <x:v>140° HFOV and dimensioned 38 mm module</x:v>
      </x:c>
      <x:c r="G6" s="34" t="str">
        <x:v>Camera adopted; shutter remains assumption</x:v>
      </x:c>
      <x:c r="H6" s="58" t="str">
        <x:v>ISP architecture, lens ray model, captive shutter travel</x:v>
      </x:c>
    </x:row>
    <x:row r="7">
      <x:c r="A7" s="33" t="str">
        <x:v>Alternate</x:v>
      </x:c>
      <x:c r="B7" s="58" t="n">
        <x:f>COUNTIF('Candidates'!$O$5:$O$14,"Alternate")</x:f>
        <x:v>2</x:v>
      </x:c>
      <x:c r="C7" s="20"/>
      <x:c r="D7" s="33" t="str">
        <x:v>Stand / VESA</x:v>
      </x:c>
      <x:c r="E7" s="34" t="str">
        <x:v>Ergotron HX 45-475-224 benchmark</x:v>
      </x:c>
      <x:c r="F7" s="34" t="str">
        <x:v>19.1 kg capacity and VESA 200 × 200 support</x:v>
      </x:c>
      <x:c r="G7" s="34" t="str">
        <x:v>Mechanism benchmark only</x:v>
      </x:c>
      <x:c r="H7" s="58" t="str">
        <x:v>Custom base, centre of gravity, tip stability and cable motion</x:v>
      </x:c>
    </x:row>
    <x:row r="8">
      <x:c r="A8" s="33" t="str">
        <x:v>Hold</x:v>
      </x:c>
      <x:c r="B8" s="58" t="n">
        <x:f>COUNTIF('Candidates'!$O$5:$O$14,"Hold")</x:f>
        <x:v>2</x:v>
      </x:c>
      <x:c r="C8" s="20"/>
      <x:c r="D8" s="33"/>
      <x:c r="E8" s="34"/>
      <x:c r="F8" s="34"/>
      <x:c r="G8" s="34"/>
      <x:c r="H8" s="58"/>
    </x:row>
    <x:row r="9">
      <x:c r="A9" s="33" t="str">
        <x:v>Reject</x:v>
      </x:c>
      <x:c r="B9" s="58" t="n">
        <x:f>COUNTIF('Candidates'!$O$5:$O$14,"Reject")</x:f>
        <x:v>3</x:v>
      </x:c>
      <x:c r="C9" s="20"/>
      <x:c r="D9" s="59" t="str">
        <x:v>CAD Review Numbers</x:v>
      </x:c>
      <x:c r="E9" s="34"/>
      <x:c r="F9" s="34"/>
      <x:c r="G9" s="34"/>
      <x:c r="H9" s="58"/>
    </x:row>
    <x:row r="10">
      <x:c r="A10" s="33" t="str">
        <x:v>Panel / Touch average score</x:v>
      </x:c>
      <x:c r="B10" s="60" t="n">
        <x:f>AVERAGEIF('Candidates'!$A$5:$A$14,"Panel / Touch",'Candidates'!$W$5:$W$14)</x:f>
        <x:v>62.666666666666664</x:v>
      </x:c>
      <x:c r="C10" s="20"/>
      <x:c r="D10" s="33" t="str">
        <x:v>Side margin</x:v>
      </x:c>
      <x:c r="E10" s="34" t="str">
        <x:v>4.8 mm each side</x:v>
      </x:c>
      <x:c r="F10" s="34" t="str">
        <x:v>Top reserve</x:v>
      </x:c>
      <x:c r="G10" s="34" t="str">
        <x:v>87.3 mm</x:v>
      </x:c>
      <x:c r="H10" s="58" t="str">
        <x:v>Very tight width margin</x:v>
      </x:c>
    </x:row>
    <x:row r="11">
      <x:c r="A11" s="33" t="str">
        <x:v>Camera / Shutter average score</x:v>
      </x:c>
      <x:c r="B11" s="60" t="n">
        <x:f>AVERAGEIF('Candidates'!$A$5:$A$14,"Camera / Shutter",'Candidates'!$W$5:$W$14)</x:f>
        <x:v>79.33333333333333</x:v>
      </x:c>
      <x:c r="C11" s="20"/>
      <x:c r="D11" s="33" t="str">
        <x:v>Depth reserve</x:v>
      </x:c>
      <x:c r="E11" s="34" t="str">
        <x:v>23.5 mm</x:v>
      </x:c>
      <x:c r="F11" s="34" t="str">
        <x:v>HX pre-AV mass headroom</x:v>
      </x:c>
      <x:c r="G11" s="34" t="str">
        <x:v>5.1 kg</x:v>
      </x:c>
      <x:c r="H11" s="58" t="str">
        <x:v>Display proxy already includes enclosure/electronics</x:v>
      </x:c>
    </x:row>
    <x:row r="12">
      <x:c r="A12" s="39" t="str">
        <x:v>Stand / VESA average score</x:v>
      </x:c>
      <x:c r="B12" s="61" t="n">
        <x:f>AVERAGEIF('Candidates'!$A$5:$A$14,"Stand / VESA",'Candidates'!$W$5:$W$14)</x:f>
        <x:v>72.25</x:v>
      </x:c>
      <x:c r="C12" s="20"/>
      <x:c r="D12" s="66" t="str">
        <x:v>Decision</x:v>
      </x:c>
      <x:c r="E12" s="67" t="str">
        <x:v>Pass with open risks</x:v>
      </x:c>
      <x:c r="F12" s="67" t="str">
        <x:v>STEP export</x:v>
      </x:c>
      <x:c r="G12" s="67" t="str">
        <x:v>Blocked</x:v>
      </x:c>
      <x:c r="H12" s="68" t="str">
        <x:v>Keep all open risks visible in CAD review</x:v>
      </x:c>
    </x:row>
  </x:sheetData>
  <x:mergeCells>
    <x:mergeCell ref="A1:H1"/>
    <x:mergeCell ref="D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3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7" hidden="0" customWidth="1"/>
    <x:col min="10" max="10" width="25" hidden="0" customWidth="1"/>
    <x:col min="11" max="11" width="25" hidden="0" customWidth="1"/>
    <x:col min="12" max="12" width="34" hidden="0" customWidth="1"/>
    <x:col min="13" max="13" width="34" hidden="0" customWidth="1"/>
    <x:col min="14" max="14" width="34" hidden="0" customWidth="1"/>
    <x:col min="15" max="15" width="14" hidden="0" customWidth="1"/>
    <x:col min="16" max="16" width="4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48" hidden="0" customWidth="1"/>
    <x:col min="25" max="25" width="13" hidden="0" customWidth="1"/>
  </x:cols>
  <x:sheetData>
    <x:row r="1" ht="34" customHeight="1">
      <x:c r="A1" s="3" t="str">
        <x:v>Hinoki Iteration 02 — Component Candidates</x:v>
      </x:c>
    </x:row>
    <x:row r="2">
      <x:c r="A2" s="4" t="str">
        <x:v>Source access date: 2026-09-01. Yellow score cells are review inputs; weighted score is formula-driven.</x:v>
      </x:c>
    </x:row>
    <x:row r="4" ht="30" customHeight="1">
      <x:c r="A4" s="30" t="str">
        <x:v>Subsystem</x:v>
      </x:c>
      <x:c r="B4" s="31" t="str">
        <x:v>Manufacturer</x:v>
      </x:c>
      <x:c r="C4" s="31" t="str">
        <x:v>Part Number</x:v>
      </x:c>
      <x:c r="D4" s="31" t="str">
        <x:v>Candidate Type</x:v>
      </x:c>
      <x:c r="E4" s="31" t="str">
        <x:v>Width mm</x:v>
      </x:c>
      <x:c r="F4" s="31" t="str">
        <x:v>Height mm</x:v>
      </x:c>
      <x:c r="G4" s="31" t="str">
        <x:v>Depth mm</x:v>
      </x:c>
      <x:c r="H4" s="31" t="str">
        <x:v>Mass kg</x:v>
      </x:c>
      <x:c r="I4" s="31" t="str">
        <x:v>Resolution / Performance</x:v>
      </x:c>
      <x:c r="J4" s="31" t="str">
        <x:v>Touch / HFOV</x:v>
      </x:c>
      <x:c r="K4" s="31" t="str">
        <x:v>Interface / VESA</x:v>
      </x:c>
      <x:c r="L4" s="31" t="str">
        <x:v>CAD Availability</x:v>
      </x:c>
      <x:c r="M4" s="31" t="str">
        <x:v>Hard Gap</x:v>
      </x:c>
      <x:c r="N4" s="31" t="str">
        <x:v>Verification</x:v>
      </x:c>
      <x:c r="O4" s="31" t="str">
        <x:v>Recommendation</x:v>
      </x:c>
      <x:c r="P4" s="31" t="str">
        <x:v>Rationale</x:v>
      </x:c>
      <x:c r="Q4" s="31" t="str">
        <x:v>Spec Fit</x:v>
      </x:c>
      <x:c r="R4" s="31" t="str">
        <x:v>CAD Fit</x:v>
      </x:c>
      <x:c r="S4" s="31" t="str">
        <x:v>Interface Fit</x:v>
      </x:c>
      <x:c r="T4" s="31" t="str">
        <x:v>Thermal / Power</x:v>
      </x:c>
      <x:c r="U4" s="31" t="str">
        <x:v>Docs</x:v>
      </x:c>
      <x:c r="V4" s="31" t="str">
        <x:v>Availability</x:v>
      </x:c>
      <x:c r="W4" s="31" t="str">
        <x:v>Weighted Score</x:v>
      </x:c>
      <x:c r="X4" s="31" t="str">
        <x:v>Source URL</x:v>
      </x:c>
      <x:c r="Y4" s="32" t="str">
        <x:v>Access Date</x:v>
      </x:c>
    </x:row>
    <x:row r="5">
      <x:c r="A5" s="33" t="str">
        <x:v>Panel / Touch</x:v>
      </x:c>
      <x:c r="B5" s="34" t="str">
        <x:v>One World Touch</x:v>
      </x:c>
      <x:c r="C5" s="34" t="str">
        <x:v>LM-3237-26B-4K</x:v>
      </x:c>
      <x:c r="D5" s="34" t="str">
        <x:v>Integrated 32-inch 4K PCAP display review proxy</x:v>
      </x:c>
      <x:c r="E5" s="35" t="n">
        <x:v>750.4</x:v>
      </x:c>
      <x:c r="F5" s="35" t="n">
        <x:v>452.7</x:v>
      </x:c>
      <x:c r="G5" s="35" t="n">
        <x:v>56.5</x:v>
      </x:c>
      <x:c r="H5" s="35" t="n">
        <x:v>14</x:v>
      </x:c>
      <x:c r="I5" s="34" t="str">
        <x:v>3840 x 2160</x:v>
      </x:c>
      <x:c r="J5" s="34" t="str">
        <x:v>10-point PCAP, optically bonded</x:v>
      </x:c>
      <x:c r="K5" s="34" t="str">
        <x:v>2x HDMI, 2x DisplayPort, USB touch, 12 VDC | 200 x 200 mm, 4-hole M4</x:v>
      </x:c>
      <x:c r="L5" s="34" t="str">
        <x:v>Technical drawing listed; native STEP not verified</x:v>
      </x:c>
      <x:c r="M5" s="34" t="str">
        <x:v>Full display product, not a bare panel/touch stack; internal decomposition is unknown</x:v>
      </x:c>
      <x:c r="N5" s="34" t="str">
        <x:v>Verified review proxy</x:v>
      </x:c>
      <x:c r="O5" s="34" t="str">
        <x:v>Preferred</x:v>
      </x:c>
      <x:c r="P5" s="34" t="str">
        <x:v>Only researched 32-inch 4K PCAP candidate whose published external envelope fits the current head concept; use for review, not release packaging.</x:v>
      </x:c>
      <x:c r="Q5" s="36" t="n">
        <x:v>5</x:v>
      </x:c>
      <x:c r="R5" s="36" t="n">
        <x:v>4</x:v>
      </x:c>
      <x:c r="S5" s="36" t="n">
        <x:v>3</x:v>
      </x:c>
      <x:c r="T5" s="36" t="n">
        <x:v>2</x:v>
      </x:c>
      <x:c r="U5" s="36" t="n">
        <x:v>4</x:v>
      </x:c>
      <x:c r="V5" s="36" t="n">
        <x:v>4</x:v>
      </x:c>
      <x:c r="W5" s="37" t="n">
        <x:f>(Q5*'Scoring Guide'!$B$5+R5*'Scoring Guide'!$B$6+S5*'Scoring Guide'!$B$7+T5*'Scoring Guide'!$B$8+U5*'Scoring Guide'!$B$9+V5*'Scoring Guide'!$B$10)/5*100</x:f>
        <x:v>80</x:v>
      </x:c>
      <x:c r="X5" s="34" t="str">
        <x:v>https://oneworldtouch.com/wp-content/mediafiles/2025/02/LM-3237-26B-4K-Data-Sheet.pdf</x:v>
      </x:c>
      <x:c r="Y5" s="38" t="n">
        <x:v>46266</x:v>
      </x:c>
    </x:row>
    <x:row r="6">
      <x:c r="A6" s="33" t="str">
        <x:v>Panel / Touch</x:v>
      </x:c>
      <x:c r="B6" s="34" t="str">
        <x:v>AccuView</x:v>
      </x:c>
      <x:c r="C6" s="34" t="str">
        <x:v>OFU320UPUA</x:v>
      </x:c>
      <x:c r="D6" s="34" t="str">
        <x:v>32-inch 4K open-frame PCAP touch monitor</x:v>
      </x:c>
      <x:c r="E6" s="35" t="n">
        <x:v>824</x:v>
      </x:c>
      <x:c r="F6" s="35" t="n">
        <x:v>524</x:v>
      </x:c>
      <x:c r="G6" s="35" t="n">
        <x:v>77</x:v>
      </x:c>
      <x:c r="H6" s="35" t="str"/>
      <x:c r="I6" s="34" t="str">
        <x:v>3840 x 2160</x:v>
      </x:c>
      <x:c r="J6" s="34" t="str">
        <x:v>Projected capacitive</x:v>
      </x:c>
      <x:c r="K6" s="34" t="str">
        <x:v>HDMI, DisplayPort, USB touch | 200 x 200 mm</x:v>
      </x:c>
      <x:c r="L6" s="34" t="str">
        <x:v>3D drawing available on request</x:v>
      </x:c>
      <x:c r="M6" s="34" t="str">
        <x:v>824 mm width exceeds the 760 mm head envelope</x:v>
      </x:c>
      <x:c r="N6" s="34" t="str">
        <x:v>Verified external envelope</x:v>
      </x:c>
      <x:c r="O6" s="34" t="str">
        <x:v>Reject</x:v>
      </x:c>
      <x:c r="P6" s="34" t="str">
        <x:v>Meets display and touch performance but fails the current width envelope by 64 mm.</x:v>
      </x:c>
      <x:c r="Q6" s="36" t="n">
        <x:v>5</x:v>
      </x:c>
      <x:c r="R6" s="36" t="n">
        <x:v>0</x:v>
      </x:c>
      <x:c r="S6" s="36" t="n">
        <x:v>3</x:v>
      </x:c>
      <x:c r="T6" s="36" t="n">
        <x:v>2</x:v>
      </x:c>
      <x:c r="U6" s="36" t="n">
        <x:v>3</x:v>
      </x:c>
      <x:c r="V6" s="36" t="n">
        <x:v>3</x:v>
      </x:c>
      <x:c r="W6" s="37" t="n">
        <x:f>(Q6*'Scoring Guide'!$B$5+R6*'Scoring Guide'!$B$6+S6*'Scoring Guide'!$B$7+T6*'Scoring Guide'!$B$8+U6*'Scoring Guide'!$B$9+V6*'Scoring Guide'!$B$10)/5*100</x:f>
        <x:v>57.00000000000001</x:v>
      </x:c>
      <x:c r="X6" s="34" t="str">
        <x:v>https://accuview.com/product/ofu320upua-32-inch-4k-ultra-hd-open-frame-projected-capacitive-pcap-touch-monitor/</x:v>
      </x:c>
      <x:c r="Y6" s="38" t="n">
        <x:v>46266</x:v>
      </x:c>
    </x:row>
    <x:row r="7">
      <x:c r="A7" s="33" t="str">
        <x:v>Panel / Touch</x:v>
      </x:c>
      <x:c r="B7" s="34" t="str">
        <x:v>Elo</x:v>
      </x:c>
      <x:c r="C7" s="34" t="str">
        <x:v>E103164 / 3204L</x:v>
      </x:c>
      <x:c r="D7" s="34" t="str">
        <x:v>32-inch PCAP interactive display</x:v>
      </x:c>
      <x:c r="E7" s="35" t="n">
        <x:v>763.7</x:v>
      </x:c>
      <x:c r="F7" s="35" t="n">
        <x:v>458.1</x:v>
      </x:c>
      <x:c r="G7" s="35" t="n">
        <x:v>49.6</x:v>
      </x:c>
      <x:c r="H7" s="35" t="n">
        <x:v>10.9</x:v>
      </x:c>
      <x:c r="I7" s="34" t="str">
        <x:v>1920 x 1080</x:v>
      </x:c>
      <x:c r="J7" s="34" t="str">
        <x:v>40-touch PCAP</x:v>
      </x:c>
      <x:c r="K7" s="34" t="str">
        <x:v>HDMI, DisplayPort, USB-C touch | 400 x 400 mm, M6</x:v>
      </x:c>
      <x:c r="L7" s="34" t="str">
        <x:v>Official dimensional drawing and CAD request portal</x:v>
      </x:c>
      <x:c r="M7" s="34" t="str">
        <x:v>FHD rather than 4K and 3.7 mm wider than the current head envelope</x:v>
      </x:c>
      <x:c r="N7" s="34" t="str">
        <x:v>Verified hard mismatches</x:v>
      </x:c>
      <x:c r="O7" s="34" t="str">
        <x:v>Reject</x:v>
      </x:c>
      <x:c r="P7" s="34" t="str">
        <x:v>Strong touch documentation but misses two hard Hinoki requirements.</x:v>
      </x:c>
      <x:c r="Q7" s="36" t="n">
        <x:v>2</x:v>
      </x:c>
      <x:c r="R7" s="36" t="n">
        <x:v>1</x:v>
      </x:c>
      <x:c r="S7" s="36" t="n">
        <x:v>4</x:v>
      </x:c>
      <x:c r="T7" s="36" t="n">
        <x:v>3</x:v>
      </x:c>
      <x:c r="U7" s="36" t="n">
        <x:v>5</x:v>
      </x:c>
      <x:c r="V7" s="36" t="n">
        <x:v>4</x:v>
      </x:c>
      <x:c r="W7" s="37" t="n">
        <x:f>(Q7*'Scoring Guide'!$B$5+R7*'Scoring Guide'!$B$6+S7*'Scoring Guide'!$B$7+T7*'Scoring Guide'!$B$8+U7*'Scoring Guide'!$B$9+V7*'Scoring Guide'!$B$10)/5*100</x:f>
        <x:v>51</x:v>
      </x:c>
      <x:c r="X7" s="34" t="str">
        <x:v>https://www.elotouch.com/touchscreen-signage-3204l.html</x:v>
      </x:c>
      <x:c r="Y7" s="38" t="n">
        <x:v>46266</x:v>
      </x:c>
    </x:row>
    <x:row r="8">
      <x:c r="A8" s="33" t="str">
        <x:v>Camera / Shutter</x:v>
      </x:c>
      <x:c r="B8" s="34" t="str">
        <x:v>Leopard Imaging</x:v>
      </x:c>
      <x:c r="C8" s="34" t="str">
        <x:v>LI-IMX477-MIPI-140H</x:v>
      </x:c>
      <x:c r="D8" s="34" t="str">
        <x:v>12.3 MP MIPI camera module with M12 lens</x:v>
      </x:c>
      <x:c r="E8" s="35" t="n">
        <x:v>38</x:v>
      </x:c>
      <x:c r="F8" s="35" t="n">
        <x:v>38</x:v>
      </x:c>
      <x:c r="G8" s="35" t="n">
        <x:v>25.78</x:v>
      </x:c>
      <x:c r="H8" s="35" t="n">
        <x:v>0.016</x:v>
      </x:c>
      <x:c r="I8" s="34" t="str">
        <x:v>4056 x 3040, up to 60 fps</x:v>
      </x:c>
      <x:c r="J8" s="34" t="str">
        <x:v>140° HFOV</x:v>
      </x:c>
      <x:c r="K8" s="34" t="str">
        <x:v>4-lane MIPI CSI-2, RAW, no ISP</x:v>
      </x:c>
      <x:c r="L8" s="34" t="str">
        <x:v>Official dimensioned module drawing</x:v>
      </x:c>
      <x:c r="M8" s="34" t="str">
        <x:v>No ISP and no integrated privacy shutter</x:v>
      </x:c>
      <x:c r="N8" s="34" t="str">
        <x:v>Verified module; shutter excluded</x:v>
      </x:c>
      <x:c r="O8" s="34" t="str">
        <x:v>Preferred</x:v>
      </x:c>
      <x:c r="P8" s="34" t="str">
        <x:v>Meets 4K-class resolution and the 140-degree HFOV limit with published mechanical dimensions.</x:v>
      </x:c>
      <x:c r="Q8" s="36" t="n">
        <x:v>5</x:v>
      </x:c>
      <x:c r="R8" s="36" t="n">
        <x:v>5</x:v>
      </x:c>
      <x:c r="S8" s="36" t="n">
        <x:v>3</x:v>
      </x:c>
      <x:c r="T8" s="36" t="n">
        <x:v>4</x:v>
      </x:c>
      <x:c r="U8" s="36" t="n">
        <x:v>5</x:v>
      </x:c>
      <x:c r="V8" s="36" t="n">
        <x:v>3</x:v>
      </x:c>
      <x:c r="W8" s="37" t="n">
        <x:f>(Q8*'Scoring Guide'!$B$5+R8*'Scoring Guide'!$B$6+S8*'Scoring Guide'!$B$7+T8*'Scoring Guide'!$B$8+U8*'Scoring Guide'!$B$9+V8*'Scoring Guide'!$B$10)/5*100</x:f>
        <x:v>90</x:v>
      </x:c>
      <x:c r="X8" s="34" t="str">
        <x:v>https://leopardimaging.com/wp-content/uploads/2024/04/LI-IMX477-MIPI-140H_Datasheet.pdf</x:v>
      </x:c>
      <x:c r="Y8" s="38" t="n">
        <x:v>46266</x:v>
      </x:c>
    </x:row>
    <x:row r="9">
      <x:c r="A9" s="33" t="str">
        <x:v>Camera / Shutter</x:v>
      </x:c>
      <x:c r="B9" s="34" t="str">
        <x:v>Leopard Imaging</x:v>
      </x:c>
      <x:c r="C9" s="34" t="str">
        <x:v>LI-IMX779-MIPI-140H</x:v>
      </x:c>
      <x:c r="D9" s="34" t="str">
        <x:v>8.39 MP MIPI camera module with M12 lens</x:v>
      </x:c>
      <x:c r="E9" s="35" t="str"/>
      <x:c r="F9" s="35" t="str"/>
      <x:c r="G9" s="35" t="str"/>
      <x:c r="H9" s="35" t="n">
        <x:v>0.018</x:v>
      </x:c>
      <x:c r="I9" s="34" t="str">
        <x:v>3856 x 2176, up to 90 fps RAW10</x:v>
      </x:c>
      <x:c r="J9" s="34" t="str">
        <x:v>140° HFOV</x:v>
      </x:c>
      <x:c r="K9" s="34" t="str">
        <x:v>4-lane MIPI CSI-2, RAW, no ISP</x:v>
      </x:c>
      <x:c r="L9" s="34" t="str">
        <x:v>Official datasheet drawing; datums not yet transcribed</x:v>
      </x:c>
      <x:c r="M9" s="34" t="str">
        <x:v>Mechanical envelope not yet normalized; no ISP or privacy shutter</x:v>
      </x:c>
      <x:c r="N9" s="34" t="str">
        <x:v>Performance verified; CAD adoption blocked</x:v>
      </x:c>
      <x:c r="O9" s="34" t="str">
        <x:v>Alternate</x:v>
      </x:c>
      <x:c r="P9" s="34" t="str">
        <x:v>Meets resolution and HFOV intent but requires drawing datum extraction before CAD use.</x:v>
      </x:c>
      <x:c r="Q9" s="36" t="n">
        <x:v>5</x:v>
      </x:c>
      <x:c r="R9" s="36" t="n">
        <x:v>3</x:v>
      </x:c>
      <x:c r="S9" s="36" t="n">
        <x:v>3</x:v>
      </x:c>
      <x:c r="T9" s="36" t="n">
        <x:v>4</x:v>
      </x:c>
      <x:c r="U9" s="36" t="n">
        <x:v>4</x:v>
      </x:c>
      <x:c r="V9" s="36" t="n">
        <x:v>3</x:v>
      </x:c>
      <x:c r="W9" s="37" t="n">
        <x:f>(Q9*'Scoring Guide'!$B$5+R9*'Scoring Guide'!$B$6+S9*'Scoring Guide'!$B$7+T9*'Scoring Guide'!$B$8+U9*'Scoring Guide'!$B$9+V9*'Scoring Guide'!$B$10)/5*100</x:f>
        <x:v>78</x:v>
      </x:c>
      <x:c r="X9" s="34" t="str">
        <x:v>https://leopardimaging.com/wp-content/uploads/2025/08/LI-IMX779-MIPI-140H_Datasheet.pdf</x:v>
      </x:c>
      <x:c r="Y9" s="38" t="n">
        <x:v>46266</x:v>
      </x:c>
    </x:row>
    <x:row r="10">
      <x:c r="A10" s="33" t="str">
        <x:v>Camera / Shutter</x:v>
      </x:c>
      <x:c r="B10" s="34" t="str">
        <x:v>Arducam</x:v>
      </x:c>
      <x:c r="C10" s="34" t="str">
        <x:v>B0670 + LK006 140H lens</x:v>
      </x:c>
      <x:c r="D10" s="34" t="str">
        <x:v>IMX500 AI MIPI module plus optional 140-degree lens</x:v>
      </x:c>
      <x:c r="E10" s="35" t="n">
        <x:v>24</x:v>
      </x:c>
      <x:c r="F10" s="35" t="n">
        <x:v>25</x:v>
      </x:c>
      <x:c r="G10" s="35" t="n">
        <x:v>16.5</x:v>
      </x:c>
      <x:c r="H10" s="35" t="n">
        <x:v>0.054</x:v>
      </x:c>
      <x:c r="I10" s="34" t="str">
        <x:v>4056 x 3040 at 10 fps; 2028 x 1520 at 30 fps</x:v>
      </x:c>
      <x:c r="J10" s="34" t="str">
        <x:v>140° HFOV</x:v>
      </x:c>
      <x:c r="K10" s="34" t="str">
        <x:v>MIPI CSI-2</x:v>
      </x:c>
      <x:c r="L10" s="34" t="str">
        <x:v>Board envelope published; 140H lens envelope separate</x:v>
      </x:c>
      <x:c r="M10" s="34" t="str">
        <x:v>Does not demonstrate 4K30 and the published overall size excludes the lens</x:v>
      </x:c>
      <x:c r="N10" s="34" t="str">
        <x:v>Board verified; lens stack incomplete</x:v>
      </x:c>
      <x:c r="O10" s="34" t="str">
        <x:v>Hold</x:v>
      </x:c>
      <x:c r="P10" s="34" t="str">
        <x:v>Compact alternate for AI prototyping, but frame-rate and lens-stack gaps block adoption.</x:v>
      </x:c>
      <x:c r="Q10" s="36" t="n">
        <x:v>3</x:v>
      </x:c>
      <x:c r="R10" s="36" t="n">
        <x:v>4</x:v>
      </x:c>
      <x:c r="S10" s="36" t="n">
        <x:v>3</x:v>
      </x:c>
      <x:c r="T10" s="36" t="n">
        <x:v>4</x:v>
      </x:c>
      <x:c r="U10" s="36" t="n">
        <x:v>4</x:v>
      </x:c>
      <x:c r="V10" s="36" t="n">
        <x:v>4</x:v>
      </x:c>
      <x:c r="W10" s="37" t="n">
        <x:f>(Q10*'Scoring Guide'!$B$5+R10*'Scoring Guide'!$B$6+S10*'Scoring Guide'!$B$7+T10*'Scoring Guide'!$B$8+U10*'Scoring Guide'!$B$9+V10*'Scoring Guide'!$B$10)/5*100</x:f>
        <x:v>70</x:v>
      </x:c>
      <x:c r="X10" s="34" t="str">
        <x:v>https://www.arducam.com/arducam-imx500-ai-mipi-camera-module-for-raspberry-pi.html</x:v>
      </x:c>
      <x:c r="Y10" s="38" t="n">
        <x:v>46266</x:v>
      </x:c>
    </x:row>
    <x:row r="11">
      <x:c r="A11" s="33" t="str">
        <x:v>Stand / VESA</x:v>
      </x:c>
      <x:c r="B11" s="34" t="str">
        <x:v>Ergotron</x:v>
      </x:c>
      <x:c r="C11" s="34" t="str">
        <x:v>45-475-224 HX Desk Monitor Arm</x:v>
      </x:c>
      <x:c r="D11" s="34" t="str">
        <x:v>Heavy monitor arm mechanism benchmark</x:v>
      </x:c>
      <x:c r="E11" s="35" t="str"/>
      <x:c r="F11" s="35" t="str"/>
      <x:c r="G11" s="35" t="str"/>
      <x:c r="H11" s="35" t="n">
        <x:v>7</x:v>
      </x:c>
      <x:c r="I11" s="34" t="str"/>
      <x:c r="J11" s="34" t="str"/>
      <x:c r="K11" s="34" t="str">
        <x:v>Desk clamp or grommet; VESA MIS-D/E/F | 75x75, 100x100, 200x100, 200x200</x:v>
      </x:c>
      <x:c r="L11" s="34" t="str">
        <x:v>Official 2D and 3D DWG download</x:v>
      </x:c>
      <x:c r="M11" s="34" t="str">
        <x:v>External desk arm is not the intended Hinoki integrated stand or stability solution</x:v>
      </x:c>
      <x:c r="N11" s="34" t="str">
        <x:v>Verified mechanism benchmark</x:v>
      </x:c>
      <x:c r="O11" s="34" t="str">
        <x:v>Preferred</x:v>
      </x:c>
      <x:c r="P11" s="34" t="str">
        <x:v>Supports the 14 kg review proxy, includes VESA 200 x 200, and exceeds required lift/tilt ranges.</x:v>
      </x:c>
      <x:c r="Q11" s="36" t="n">
        <x:v>5</x:v>
      </x:c>
      <x:c r="R11" s="36" t="n">
        <x:v>5</x:v>
      </x:c>
      <x:c r="S11" s="36" t="n">
        <x:v>5</x:v>
      </x:c>
      <x:c r="T11" s="36" t="n">
        <x:v>5</x:v>
      </x:c>
      <x:c r="U11" s="36" t="n">
        <x:v>5</x:v>
      </x:c>
      <x:c r="V11" s="36" t="n">
        <x:v>5</x:v>
      </x:c>
      <x:c r="W11" s="37" t="n">
        <x:f>(Q11*'Scoring Guide'!$B$5+R11*'Scoring Guide'!$B$6+S11*'Scoring Guide'!$B$7+T11*'Scoring Guide'!$B$8+U11*'Scoring Guide'!$B$9+V11*'Scoring Guide'!$B$10)/5*100</x:f>
        <x:v>100</x:v>
      </x:c>
      <x:c r="X11" s="34" t="str">
        <x:v>https://www.ergotron.com/en-ca/products/product-details/45-475</x:v>
      </x:c>
      <x:c r="Y11" s="38" t="n">
        <x:v>46266</x:v>
      </x:c>
    </x:row>
    <x:row r="12">
      <x:c r="A12" s="33" t="str">
        <x:v>Stand / VESA</x:v>
      </x:c>
      <x:c r="B12" s="34" t="str">
        <x:v>Humanscale</x:v>
      </x:c>
      <x:c r="C12" s="34" t="str">
        <x:v>M8 Pro / M81BBTBC</x:v>
      </x:c>
      <x:c r="D12" s="34" t="str">
        <x:v>Heavy monitor arm mechanism benchmark</x:v>
      </x:c>
      <x:c r="E12" s="35" t="str"/>
      <x:c r="F12" s="35" t="str"/>
      <x:c r="G12" s="35" t="str"/>
      <x:c r="H12" s="35" t="n">
        <x:v>4.81</x:v>
      </x:c>
      <x:c r="I12" s="34" t="str"/>
      <x:c r="J12" s="34" t="str"/>
      <x:c r="K12" s="34" t="str">
        <x:v>Desk mount; VESA 100 x 100 | 100 x 100 mm</x:v>
      </x:c>
      <x:c r="L12" s="34" t="str">
        <x:v>Product line drawings published; exact configured CAD not captured</x:v>
      </x:c>
      <x:c r="M12" s="34" t="str">
        <x:v>Requires a 200 x 200 adapter and does not provide an integrated base/stability architecture</x:v>
      </x:c>
      <x:c r="N12" s="34" t="str">
        <x:v>Capacity verified; interface adaptation open</x:v>
      </x:c>
      <x:c r="O12" s="34" t="str">
        <x:v>Alternate</x:v>
      </x:c>
      <x:c r="P12" s="34" t="str">
        <x:v>Strong mass capacity and motion range, but needs a verified VESA adapter and packaging study.</x:v>
      </x:c>
      <x:c r="Q12" s="36" t="n">
        <x:v>4</x:v>
      </x:c>
      <x:c r="R12" s="36" t="n">
        <x:v>2</x:v>
      </x:c>
      <x:c r="S12" s="36" t="n">
        <x:v>2</x:v>
      </x:c>
      <x:c r="T12" s="36" t="n">
        <x:v>5</x:v>
      </x:c>
      <x:c r="U12" s="36" t="n">
        <x:v>4</x:v>
      </x:c>
      <x:c r="V12" s="36" t="n">
        <x:v>5</x:v>
      </x:c>
      <x:c r="W12" s="37" t="n">
        <x:f>(Q12*'Scoring Guide'!$B$5+R12*'Scoring Guide'!$B$6+S12*'Scoring Guide'!$B$7+T12*'Scoring Guide'!$B$8+U12*'Scoring Guide'!$B$9+V12*'Scoring Guide'!$B$10)/5*100</x:f>
        <x:v>67</x:v>
      </x:c>
      <x:c r="X12" s="34" t="str">
        <x:v>https://shop.humanscale.com/products/m8-pro-single-monitor-arm</x:v>
      </x:c>
      <x:c r="Y12" s="38" t="n">
        <x:v>46266</x:v>
      </x:c>
    </x:row>
    <x:row r="13">
      <x:c r="A13" s="33" t="str">
        <x:v>Stand / VESA</x:v>
      </x:c>
      <x:c r="B13" s="34" t="str">
        <x:v>Colebrook Bosson Saunders</x:v>
      </x:c>
      <x:c r="C13" s="34" t="str">
        <x:v>Flo X</x:v>
      </x:c>
      <x:c r="D13" s="34" t="str">
        <x:v>Wide-screen monitor arm mechanism benchmark</x:v>
      </x:c>
      <x:c r="E13" s="35" t="str"/>
      <x:c r="F13" s="35" t="str"/>
      <x:c r="G13" s="35" t="str"/>
      <x:c r="H13" s="35" t="str"/>
      <x:c r="I13" s="34" t="str"/>
      <x:c r="J13" s="34" t="str"/>
      <x:c r="K13" s="34" t="str">
        <x:v>Desk mount; VESA 75/100 | 75 x 75 / 100 x 100 mm</x:v>
      </x:c>
      <x:c r="L13" s="34" t="str">
        <x:v>3D view and technical drawing offered</x:v>
      </x:c>
      <x:c r="M13" s="34" t="str">
        <x:v>Only 4 kg nominal headroom above the 14 kg display proxy; VESA adapter and full motion data unresolved</x:v>
      </x:c>
      <x:c r="N13" s="34" t="str">
        <x:v>Capacity verified; CAD adoption blocked</x:v>
      </x:c>
      <x:c r="O13" s="34" t="str">
        <x:v>Hold</x:v>
      </x:c>
      <x:c r="P13" s="34" t="str">
        <x:v>Capacity is marginal after Hinoki AV/compute additions and the 200 mm interface requires adaptation.</x:v>
      </x:c>
      <x:c r="Q13" s="36" t="n">
        <x:v>4</x:v>
      </x:c>
      <x:c r="R13" s="36" t="n">
        <x:v>2</x:v>
      </x:c>
      <x:c r="S13" s="36" t="n">
        <x:v>2</x:v>
      </x:c>
      <x:c r="T13" s="36" t="n">
        <x:v>5</x:v>
      </x:c>
      <x:c r="U13" s="36" t="n">
        <x:v>3</x:v>
      </x:c>
      <x:c r="V13" s="36" t="n">
        <x:v>4</x:v>
      </x:c>
      <x:c r="W13" s="37" t="n">
        <x:f>(Q13*'Scoring Guide'!$B$5+R13*'Scoring Guide'!$B$6+S13*'Scoring Guide'!$B$7+T13*'Scoring Guide'!$B$8+U13*'Scoring Guide'!$B$9+V13*'Scoring Guide'!$B$10)/5*100</x:f>
        <x:v>64</x:v>
      </x:c>
      <x:c r="X13" s="34" t="str">
        <x:v>https://www.colebrookbossonsaunders.com/en-au/products/flo-x</x:v>
      </x:c>
      <x:c r="Y13" s="38" t="n">
        <x:v>46266</x:v>
      </x:c>
    </x:row>
    <x:row r="14">
      <x:c r="A14" s="39" t="str">
        <x:v>Stand / VESA</x:v>
      </x:c>
      <x:c r="B14" s="40" t="str">
        <x:v>Ergotron</x:v>
      </x:c>
      <x:c r="C14" s="40" t="str">
        <x:v>45-682-292 LX Pro Desk Arm</x:v>
      </x:c>
      <x:c r="D14" s="40" t="str">
        <x:v>Monitor arm mechanism benchmark</x:v>
      </x:c>
      <x:c r="E14" s="41" t="str"/>
      <x:c r="F14" s="41" t="str"/>
      <x:c r="G14" s="41" t="str"/>
      <x:c r="H14" s="41" t="str"/>
      <x:c r="I14" s="40" t="str"/>
      <x:c r="J14" s="40" t="str"/>
      <x:c r="K14" s="40" t="str">
        <x:v>Desk mount; VESA 75/100 | 75 x 75 / 100 x 100 mm</x:v>
      </x:c>
      <x:c r="L14" s="40" t="str">
        <x:v>Official dimensional illustrations and CAD download</x:v>
      </x:c>
      <x:c r="M14" s="40" t="str">
        <x:v>10 kg maximum is below the 14 kg display proxy before adding Hinoki hardware</x:v>
      </x:c>
      <x:c r="N14" s="40" t="str">
        <x:v>Verified capacity mismatch</x:v>
      </x:c>
      <x:c r="O14" s="40" t="str">
        <x:v>Reject</x:v>
      </x:c>
      <x:c r="P14" s="40" t="str">
        <x:v>Motion range is adequate but the hard mass-capacity requirement fails.</x:v>
      </x:c>
      <x:c r="Q14" s="42" t="n">
        <x:v>1</x:v>
      </x:c>
      <x:c r="R14" s="42" t="n">
        <x:v>4</x:v>
      </x:c>
      <x:c r="S14" s="42" t="n">
        <x:v>2</x:v>
      </x:c>
      <x:c r="T14" s="42" t="n">
        <x:v>5</x:v>
      </x:c>
      <x:c r="U14" s="42" t="n">
        <x:v>5</x:v>
      </x:c>
      <x:c r="V14" s="42" t="n">
        <x:v>5</x:v>
      </x:c>
      <x:c r="W14" s="43" t="n">
        <x:f>(Q14*'Scoring Guide'!$B$5+R14*'Scoring Guide'!$B$6+S14*'Scoring Guide'!$B$7+T14*'Scoring Guide'!$B$8+U14*'Scoring Guide'!$B$9+V14*'Scoring Guide'!$B$10)/5*100</x:f>
        <x:v>58.00000000000001</x:v>
      </x:c>
      <x:c r="X14" s="40" t="str">
        <x:v>https://media.ergotron.com/reserved/resources/specs-lx-pro-series-ea-orig.pdf</x:v>
      </x:c>
      <x:c r="Y14" s="44" t="n">
        <x:v>46266</x:v>
      </x:c>
    </x:row>
  </x:sheetData>
  <x:mergeCells>
    <x:mergeCell ref="A1:Y1"/>
  </x:mergeCells>
  <x:conditionalFormatting sqref="O5:O14">
    <x:cfRule type="containsText" dxfId="0" priority="1" operator="containsText" text="Preferred"/>
    <x:cfRule type="containsText" dxfId="1" priority="2" operator="containsText" text="Alternate"/>
    <x:cfRule type="containsText" dxfId="2" priority="3" operator="containsText" text="Hold"/>
    <x:cfRule type="containsText" dxfId="3" priority="4" operator="containsText" text="Reject"/>
  </x:conditionalFormatting>
  <x:conditionalFormatting sqref="W5:W14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2">
    <x:dataValidation type="whole" operator="between" sqref="Q5:V14">
      <x:formula1>0</x:formula1>
      <x:formula2>5</x:formula2>
    </x:dataValidation>
    <x:dataValidation type="list" sqref="O5:O14">
      <x:formula1>"Preferred,Alternate,Hold,Reject"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962660029b4f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8" hidden="0" customWidth="1"/>
    <x:col min="4" max="4" width="16" hidden="0" customWidth="1"/>
    <x:col min="5" max="5" width="36" hidden="0" customWidth="1"/>
  </x:cols>
  <x:sheetData>
    <x:row r="1" ht="34" customHeight="1">
      <x:c r="A1" s="3" t="str">
        <x:v>Hinoki Iteration 02 — Requirements</x:v>
      </x:c>
    </x:row>
    <x:row r="2">
      <x:c r="A2" s="4" t="str">
        <x:v>Hard requirements remain controlling even when a candidate receives a high weighted score.</x:v>
      </x:c>
    </x:row>
    <x:row r="4" ht="30" customHeight="1">
      <x:c r="A4" s="13" t="str">
        <x:v>Requirement ID</x:v>
      </x:c>
      <x:c r="B4" s="14" t="str">
        <x:v>Subsystem</x:v>
      </x:c>
      <x:c r="C4" s="14" t="str">
        <x:v>Requirement</x:v>
      </x:c>
      <x:c r="D4" s="14" t="str">
        <x:v>Hard Requirement</x:v>
      </x:c>
      <x:c r="E4" s="15" t="str">
        <x:v>Current Review State</x:v>
      </x:c>
    </x:row>
    <x:row r="5">
      <x:c r="A5" s="20" t="str">
        <x:v>R-DISPLAY-01</x:v>
      </x:c>
      <x:c r="B5" s="20" t="str">
        <x:v>Panel / Touch</x:v>
      </x:c>
      <x:c r="C5" s="20" t="str">
        <x:v>31.5 to 32-inch, 3840 x 2160, projected-capacitive touch</x:v>
      </x:c>
      <x:c r="D5" s="48" t="b">
        <x:v>1</x:v>
      </x:c>
      <x:c r="E5" s="20" t="str">
        <x:v>Review proxy available</x:v>
      </x:c>
    </x:row>
    <x:row r="6">
      <x:c r="A6" s="20" t="str">
        <x:v>R-HEAD-01</x:v>
      </x:c>
      <x:c r="B6" s="20" t="str">
        <x:v>Panel / Touch</x:v>
      </x:c>
      <x:c r="C6" s="20" t="str">
        <x:v>Review envelope must fit within 760 W x 80 D x 540 H mm head concept</x:v>
      </x:c>
      <x:c r="D6" s="48" t="b">
        <x:v>1</x:v>
      </x:c>
      <x:c r="E6" s="20" t="str">
        <x:v>Review proxy available</x:v>
      </x:c>
    </x:row>
    <x:row r="7">
      <x:c r="A7" s="20" t="str">
        <x:v>R-CAMERA-01</x:v>
      </x:c>
      <x:c r="B7" s="20" t="str">
        <x:v>Camera / Shutter</x:v>
      </x:c>
      <x:c r="C7" s="20" t="str">
        <x:v>At least 4K-class sensor with 134 to 140 degree horizontal FOV</x:v>
      </x:c>
      <x:c r="D7" s="48" t="b">
        <x:v>1</x:v>
      </x:c>
      <x:c r="E7" s="20" t="str">
        <x:v>Review proxy available</x:v>
      </x:c>
    </x:row>
    <x:row r="8">
      <x:c r="A8" s="20" t="str">
        <x:v>R-SHUTTER-01</x:v>
      </x:c>
      <x:c r="B8" s="20" t="str">
        <x:v>Camera / Shutter</x:v>
      </x:c>
      <x:c r="C8" s="20" t="str">
        <x:v>Manual captive privacy shutter with verified travel and optical obscuration</x:v>
      </x:c>
      <x:c r="D8" s="48" t="b">
        <x:v>1</x:v>
      </x:c>
      <x:c r="E8" s="20" t="str">
        <x:v>Open risk / integration evidence required</x:v>
      </x:c>
    </x:row>
    <x:row r="9">
      <x:c r="A9" s="20" t="str">
        <x:v>R-STAND-01</x:v>
      </x:c>
      <x:c r="B9" s="20" t="str">
        <x:v>Stand / VESA</x:v>
      </x:c>
      <x:c r="C9" s="20" t="str">
        <x:v>Support 14 kg display proxy plus Hinoki AV/compute mass reserve</x:v>
      </x:c>
      <x:c r="D9" s="48" t="b">
        <x:v>1</x:v>
      </x:c>
      <x:c r="E9" s="20" t="str">
        <x:v>Open risk / integration evidence required</x:v>
      </x:c>
    </x:row>
    <x:row r="10">
      <x:c r="A10" s="20" t="str">
        <x:v>R-VESA-01</x:v>
      </x:c>
      <x:c r="B10" s="20" t="str">
        <x:v>Stand / VESA</x:v>
      </x:c>
      <x:c r="C10" s="20" t="str">
        <x:v>Support the selected display interface; current review proxy is VESA 200 x 200 mm</x:v>
      </x:c>
      <x:c r="D10" s="48" t="b">
        <x:v>1</x:v>
      </x:c>
      <x:c r="E10" s="20" t="str">
        <x:v>Open risk / integration evidence required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46" hidden="0" customWidth="1"/>
  </x:cols>
  <x:sheetData>
    <x:row r="1" ht="34" customHeight="1">
      <x:c r="A1" s="3" t="str">
        <x:v>Hinoki Iteration 02 — CAD Envelopes</x:v>
      </x:c>
    </x:row>
    <x:row r="2">
      <x:c r="A2" s="4" t="str">
        <x:v>Only published dimensions are populated. Fit calculations use the current 760 × 80 × 540 mm concept head.</x:v>
      </x:c>
    </x:row>
    <x:row r="4" ht="30" customHeight="1">
      <x:c r="A4" s="13" t="str">
        <x:v>Subsystem</x:v>
      </x:c>
      <x:c r="B4" s="14" t="str">
        <x:v>Manufacturer</x:v>
      </x:c>
      <x:c r="C4" s="14" t="str">
        <x:v>Part Number</x:v>
      </x:c>
      <x:c r="D4" s="14" t="str">
        <x:v>Source Status</x:v>
      </x:c>
      <x:c r="E4" s="14" t="str">
        <x:v>Width mm</x:v>
      </x:c>
      <x:c r="F4" s="14" t="str">
        <x:v>Height mm</x:v>
      </x:c>
      <x:c r="G4" s="14" t="str">
        <x:v>Depth mm</x:v>
      </x:c>
      <x:c r="H4" s="14" t="str">
        <x:v>Mass kg</x:v>
      </x:c>
      <x:c r="I4" s="14" t="str">
        <x:v>Side Margin mm</x:v>
      </x:c>
      <x:c r="J4" s="14" t="str">
        <x:v>Top Reserve mm</x:v>
      </x:c>
      <x:c r="K4" s="14" t="str">
        <x:v>Depth Reserve mm</x:v>
      </x:c>
      <x:c r="L4" s="14" t="str">
        <x:v>Head Fit</x:v>
      </x:c>
      <x:c r="M4" s="14" t="str">
        <x:v>CAD Adoption</x:v>
      </x:c>
      <x:c r="N4" s="15" t="str">
        <x:v>Open Keep-out</x:v>
      </x:c>
    </x:row>
    <x:row r="5">
      <x:c r="A5" s="20" t="str">
        <x:v>Panel / Touch</x:v>
      </x:c>
      <x:c r="B5" s="20" t="str">
        <x:v>One World Touch</x:v>
      </x:c>
      <x:c r="C5" s="20" t="str">
        <x:v>LM-3237-26B-4K</x:v>
      </x:c>
      <x:c r="D5" s="20" t="str">
        <x:v>Verified review proxy</x:v>
      </x:c>
      <x:c r="E5" s="26" t="n">
        <x:v>750.4</x:v>
      </x:c>
      <x:c r="F5" s="26" t="n">
        <x:v>452.7</x:v>
      </x:c>
      <x:c r="G5" s="26" t="n">
        <x:v>56.5</x:v>
      </x:c>
      <x:c r="H5" s="26" t="n">
        <x:v>14</x:v>
      </x:c>
      <x:c r="I5" s="26" t="n">
        <x:f>(760-E5)/2</x:f>
        <x:v>4.800000000000011</x:v>
      </x:c>
      <x:c r="J5" s="26" t="n">
        <x:f>540-F5</x:f>
        <x:v>87.30000000000001</x:v>
      </x:c>
      <x:c r="K5" s="26" t="n">
        <x:f>80-G5</x:f>
        <x:v>23.5</x:v>
      </x:c>
      <x:c r="L5" s="20" t="str">
        <x:f>IF(AND(E5&lt;=760,F5&lt;=540,G5&lt;=80),"Fits","Does Not Fit")</x:f>
        <x:v>Fits</x:v>
      </x:c>
      <x:c r="M5" s="20" t="str">
        <x:v>Review baseline</x:v>
      </x:c>
      <x:c r="N5" s="20" t="str">
        <x:v>Full display product, not a bare panel/touch stack; internal decomposition is unknown</x:v>
      </x:c>
    </x:row>
    <x:row r="6">
      <x:c r="A6" s="20" t="str">
        <x:v>Panel / Touch</x:v>
      </x:c>
      <x:c r="B6" s="20" t="str">
        <x:v>AccuView</x:v>
      </x:c>
      <x:c r="C6" s="20" t="str">
        <x:v>OFU320UPUA</x:v>
      </x:c>
      <x:c r="D6" s="20" t="str">
        <x:v>Verified external envelope</x:v>
      </x:c>
      <x:c r="E6" s="26" t="n">
        <x:v>824</x:v>
      </x:c>
      <x:c r="F6" s="26" t="n">
        <x:v>524</x:v>
      </x:c>
      <x:c r="G6" s="26" t="n">
        <x:v>77</x:v>
      </x:c>
      <x:c r="H6" s="26" t="str"/>
      <x:c r="I6" s="26" t="n">
        <x:f>(760-E6)/2</x:f>
        <x:v>-32</x:v>
      </x:c>
      <x:c r="J6" s="26" t="n">
        <x:f>540-F6</x:f>
        <x:v>16</x:v>
      </x:c>
      <x:c r="K6" s="26" t="n">
        <x:f>80-G6</x:f>
        <x:v>3</x:v>
      </x:c>
      <x:c r="L6" s="20" t="str">
        <x:f>IF(AND(E6&lt;=760,F6&lt;=540,G6&lt;=80),"Fits","Does Not Fit")</x:f>
        <x:v>Does Not Fit</x:v>
      </x:c>
      <x:c r="M6" s="20" t="str">
        <x:v>Not adopted</x:v>
      </x:c>
      <x:c r="N6" s="20" t="str">
        <x:v>824 mm width exceeds the 760 mm head envelope</x:v>
      </x:c>
    </x:row>
    <x:row r="7">
      <x:c r="A7" s="20" t="str">
        <x:v>Panel / Touch</x:v>
      </x:c>
      <x:c r="B7" s="20" t="str">
        <x:v>Elo</x:v>
      </x:c>
      <x:c r="C7" s="20" t="str">
        <x:v>E103164 / 3204L</x:v>
      </x:c>
      <x:c r="D7" s="20" t="str">
        <x:v>Verified hard mismatches</x:v>
      </x:c>
      <x:c r="E7" s="26" t="n">
        <x:v>763.7</x:v>
      </x:c>
      <x:c r="F7" s="26" t="n">
        <x:v>458.1</x:v>
      </x:c>
      <x:c r="G7" s="26" t="n">
        <x:v>49.6</x:v>
      </x:c>
      <x:c r="H7" s="26" t="n">
        <x:v>10.9</x:v>
      </x:c>
      <x:c r="I7" s="26" t="n">
        <x:f>(760-E7)/2</x:f>
        <x:v>-1.8500000000000227</x:v>
      </x:c>
      <x:c r="J7" s="26" t="n">
        <x:f>540-F7</x:f>
        <x:v>81.89999999999998</x:v>
      </x:c>
      <x:c r="K7" s="26" t="n">
        <x:f>80-G7</x:f>
        <x:v>30.4</x:v>
      </x:c>
      <x:c r="L7" s="20" t="str">
        <x:f>IF(AND(E7&lt;=760,F7&lt;=540,G7&lt;=80),"Fits","Does Not Fit")</x:f>
        <x:v>Does Not Fit</x:v>
      </x:c>
      <x:c r="M7" s="20" t="str">
        <x:v>Not adopted</x:v>
      </x:c>
      <x:c r="N7" s="20" t="str">
        <x:v>FHD rather than 4K and 3.7 mm wider than the current head envelope</x:v>
      </x:c>
    </x:row>
    <x:row r="8">
      <x:c r="A8" s="20" t="str">
        <x:v>Camera / Shutter</x:v>
      </x:c>
      <x:c r="B8" s="20" t="str">
        <x:v>Leopard Imaging</x:v>
      </x:c>
      <x:c r="C8" s="20" t="str">
        <x:v>LI-IMX477-MIPI-140H</x:v>
      </x:c>
      <x:c r="D8" s="20" t="str">
        <x:v>Verified module; shutter excluded</x:v>
      </x:c>
      <x:c r="E8" s="26" t="n">
        <x:v>38</x:v>
      </x:c>
      <x:c r="F8" s="26" t="n">
        <x:v>38</x:v>
      </x:c>
      <x:c r="G8" s="26" t="n">
        <x:v>25.78</x:v>
      </x:c>
      <x:c r="H8" s="26" t="n">
        <x:v>0.016</x:v>
      </x:c>
      <x:c r="I8" s="26" t="n">
        <x:f>(760-E8)/2</x:f>
        <x:v>361</x:v>
      </x:c>
      <x:c r="J8" s="26" t="n">
        <x:f>540-F8</x:f>
        <x:v>502</x:v>
      </x:c>
      <x:c r="K8" s="26" t="n">
        <x:f>80-G8</x:f>
        <x:v>54.22</x:v>
      </x:c>
      <x:c r="L8" s="20" t="str">
        <x:f>IF(AND(E8&lt;=760,F8&lt;=540,G8&lt;=80),"Fits","Does Not Fit")</x:f>
        <x:v>Fits</x:v>
      </x:c>
      <x:c r="M8" s="20" t="str">
        <x:v>Review baseline</x:v>
      </x:c>
      <x:c r="N8" s="20" t="str">
        <x:v>No ISP and no integrated privacy shutter</x:v>
      </x:c>
    </x:row>
    <x:row r="9">
      <x:c r="A9" s="20" t="str">
        <x:v>Camera / Shutter</x:v>
      </x:c>
      <x:c r="B9" s="20" t="str">
        <x:v>Arducam</x:v>
      </x:c>
      <x:c r="C9" s="20" t="str">
        <x:v>B0670 + LK006 140H lens</x:v>
      </x:c>
      <x:c r="D9" s="20" t="str">
        <x:v>Board verified; lens stack incomplete</x:v>
      </x:c>
      <x:c r="E9" s="26" t="n">
        <x:v>24</x:v>
      </x:c>
      <x:c r="F9" s="26" t="n">
        <x:v>25</x:v>
      </x:c>
      <x:c r="G9" s="26" t="n">
        <x:v>16.5</x:v>
      </x:c>
      <x:c r="H9" s="26" t="n">
        <x:v>0.054</x:v>
      </x:c>
      <x:c r="I9" s="26" t="n">
        <x:f>(760-E9)/2</x:f>
        <x:v>368</x:v>
      </x:c>
      <x:c r="J9" s="26" t="n">
        <x:f>540-F9</x:f>
        <x:v>515</x:v>
      </x:c>
      <x:c r="K9" s="26" t="n">
        <x:f>80-G9</x:f>
        <x:v>63.5</x:v>
      </x:c>
      <x:c r="L9" s="20" t="str">
        <x:f>IF(AND(E9&lt;=760,F9&lt;=540,G9&lt;=80),"Fits","Does Not Fit")</x:f>
        <x:v>Fits</x:v>
      </x:c>
      <x:c r="M9" s="20" t="str">
        <x:v>Not adopted</x:v>
      </x:c>
      <x:c r="N9" s="20" t="str">
        <x:v>Does not demonstrate 4K30 and the published overall size excludes the lens</x:v>
      </x:c>
    </x:row>
  </x:sheetData>
  <x:mergeCells>
    <x:mergeCell ref="A1:N1"/>
  </x:mergeCells>
  <x:conditionalFormatting sqref="L5:L9">
    <x:cfRule type="containsText" dxfId="4" priority="1" operator="containsText" text="Fits"/>
    <x:cfRule type="containsText" dxfId="5" priority="2" operator="containsText" text="Does Not Fit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4" hidden="0" customWidth="1"/>
    <x:col min="5" max="5" width="68" hidden="0" customWidth="1"/>
    <x:col min="6" max="6" width="14" hidden="0" customWidth="1"/>
    <x:col min="7" max="7" width="38" hidden="0" customWidth="1"/>
  </x:cols>
  <x:sheetData>
    <x:row r="1" ht="34" customHeight="1">
      <x:c r="A1" s="3" t="str">
        <x:v>Hinoki Iteration 02 — Sources</x:v>
      </x:c>
    </x:row>
    <x:row r="2">
      <x:c r="A2" s="4" t="str">
        <x:v>URLs are plain text for auditability. Access date reflects this review run.</x:v>
      </x:c>
    </x:row>
    <x:row r="4" ht="30" customHeight="1">
      <x:c r="A4" s="13" t="str">
        <x:v>Subsystem</x:v>
      </x:c>
      <x:c r="B4" s="14" t="str">
        <x:v>Manufacturer</x:v>
      </x:c>
      <x:c r="C4" s="14" t="str">
        <x:v>Part Number</x:v>
      </x:c>
      <x:c r="D4" s="14" t="str">
        <x:v>Source Type</x:v>
      </x:c>
      <x:c r="E4" s="14" t="str">
        <x:v>URL</x:v>
      </x:c>
      <x:c r="F4" s="14" t="str">
        <x:v>Access Date</x:v>
      </x:c>
      <x:c r="G4" s="15" t="str">
        <x:v>Verification Note</x:v>
      </x:c>
    </x:row>
    <x:row r="5">
      <x:c r="A5" s="20" t="str">
        <x:v>Panel / Touch</x:v>
      </x:c>
      <x:c r="B5" s="20" t="str">
        <x:v>One World Touch</x:v>
      </x:c>
      <x:c r="C5" s="20" t="str">
        <x:v>LM-3237-26B-4K</x:v>
      </x:c>
      <x:c r="D5" s="20" t="str">
        <x:v>Manufacturer datasheet</x:v>
      </x:c>
      <x:c r="E5" s="20" t="str">
        <x:v>https://oneworldtouch.com/wp-content/mediafiles/2025/02/LM-3237-26B-4K-Data-Sheet.pdf</x:v>
      </x:c>
      <x:c r="F5" s="29" t="n">
        <x:v>46266</x:v>
      </x:c>
      <x:c r="G5" s="20" t="str">
        <x:v>Verified review proxy</x:v>
      </x:c>
    </x:row>
    <x:row r="6">
      <x:c r="A6" s="20" t="str">
        <x:v>Panel / Touch</x:v>
      </x:c>
      <x:c r="B6" s="20" t="str">
        <x:v>AccuView</x:v>
      </x:c>
      <x:c r="C6" s="20" t="str">
        <x:v>OFU320UPUA</x:v>
      </x:c>
      <x:c r="D6" s="20" t="str">
        <x:v>Manufacturer product page</x:v>
      </x:c>
      <x:c r="E6" s="20" t="str">
        <x:v>https://accuview.com/product/ofu320upua-32-inch-4k-ultra-hd-open-frame-projected-capacitive-pcap-touch-monitor/</x:v>
      </x:c>
      <x:c r="F6" s="29" t="n">
        <x:v>46266</x:v>
      </x:c>
      <x:c r="G6" s="20" t="str">
        <x:v>Verified external envelope</x:v>
      </x:c>
    </x:row>
    <x:row r="7">
      <x:c r="A7" s="20" t="str">
        <x:v>Panel / Touch</x:v>
      </x:c>
      <x:c r="B7" s="20" t="str">
        <x:v>Elo</x:v>
      </x:c>
      <x:c r="C7" s="20" t="str">
        <x:v>E103164 / 3204L</x:v>
      </x:c>
      <x:c r="D7" s="20" t="str">
        <x:v>Manufacturer product page</x:v>
      </x:c>
      <x:c r="E7" s="20" t="str">
        <x:v>https://www.elotouch.com/touchscreen-signage-3204l.html</x:v>
      </x:c>
      <x:c r="F7" s="29" t="n">
        <x:v>46266</x:v>
      </x:c>
      <x:c r="G7" s="20" t="str">
        <x:v>Verified hard mismatches</x:v>
      </x:c>
    </x:row>
    <x:row r="8">
      <x:c r="A8" s="20" t="str">
        <x:v>Camera / Shutter</x:v>
      </x:c>
      <x:c r="B8" s="20" t="str">
        <x:v>Leopard Imaging</x:v>
      </x:c>
      <x:c r="C8" s="20" t="str">
        <x:v>LI-IMX477-MIPI-140H</x:v>
      </x:c>
      <x:c r="D8" s="20" t="str">
        <x:v>Manufacturer datasheet</x:v>
      </x:c>
      <x:c r="E8" s="20" t="str">
        <x:v>https://leopardimaging.com/wp-content/uploads/2024/04/LI-IMX477-MIPI-140H_Datasheet.pdf</x:v>
      </x:c>
      <x:c r="F8" s="29" t="n">
        <x:v>46266</x:v>
      </x:c>
      <x:c r="G8" s="20" t="str">
        <x:v>Verified module; shutter excluded</x:v>
      </x:c>
    </x:row>
    <x:row r="9">
      <x:c r="A9" s="20" t="str">
        <x:v>Camera / Shutter</x:v>
      </x:c>
      <x:c r="B9" s="20" t="str">
        <x:v>Leopard Imaging</x:v>
      </x:c>
      <x:c r="C9" s="20" t="str">
        <x:v>LI-IMX779-MIPI-140H</x:v>
      </x:c>
      <x:c r="D9" s="20" t="str">
        <x:v>Manufacturer datasheet</x:v>
      </x:c>
      <x:c r="E9" s="20" t="str">
        <x:v>https://leopardimaging.com/wp-content/uploads/2025/08/LI-IMX779-MIPI-140H_Datasheet.pdf</x:v>
      </x:c>
      <x:c r="F9" s="29" t="n">
        <x:v>46266</x:v>
      </x:c>
      <x:c r="G9" s="20" t="str">
        <x:v>Performance verified; CAD adoption blocked</x:v>
      </x:c>
    </x:row>
    <x:row r="10">
      <x:c r="A10" s="20" t="str">
        <x:v>Camera / Shutter</x:v>
      </x:c>
      <x:c r="B10" s="20" t="str">
        <x:v>Arducam</x:v>
      </x:c>
      <x:c r="C10" s="20" t="str">
        <x:v>B0670 + LK006 140H lens</x:v>
      </x:c>
      <x:c r="D10" s="20" t="str">
        <x:v>Manufacturer product page</x:v>
      </x:c>
      <x:c r="E10" s="20" t="str">
        <x:v>https://www.arducam.com/arducam-imx500-ai-mipi-camera-module-for-raspberry-pi.html</x:v>
      </x:c>
      <x:c r="F10" s="29" t="n">
        <x:v>46266</x:v>
      </x:c>
      <x:c r="G10" s="20" t="str">
        <x:v>Board verified; lens stack incomplete</x:v>
      </x:c>
    </x:row>
    <x:row r="11">
      <x:c r="A11" s="20" t="str">
        <x:v>Stand / VESA</x:v>
      </x:c>
      <x:c r="B11" s="20" t="str">
        <x:v>Ergotron</x:v>
      </x:c>
      <x:c r="C11" s="20" t="str">
        <x:v>45-475-224 HX Desk Monitor Arm</x:v>
      </x:c>
      <x:c r="D11" s="20" t="str">
        <x:v>Manufacturer product page</x:v>
      </x:c>
      <x:c r="E11" s="20" t="str">
        <x:v>https://www.ergotron.com/en-ca/products/product-details/45-475</x:v>
      </x:c>
      <x:c r="F11" s="29" t="n">
        <x:v>46266</x:v>
      </x:c>
      <x:c r="G11" s="20" t="str">
        <x:v>Verified mechanism benchmark</x:v>
      </x:c>
    </x:row>
    <x:row r="12">
      <x:c r="A12" s="20" t="str">
        <x:v>Stand / VESA</x:v>
      </x:c>
      <x:c r="B12" s="20" t="str">
        <x:v>Humanscale</x:v>
      </x:c>
      <x:c r="C12" s="20" t="str">
        <x:v>M8 Pro / M81BBTBC</x:v>
      </x:c>
      <x:c r="D12" s="20" t="str">
        <x:v>Manufacturer product page</x:v>
      </x:c>
      <x:c r="E12" s="20" t="str">
        <x:v>https://shop.humanscale.com/products/m8-pro-single-monitor-arm</x:v>
      </x:c>
      <x:c r="F12" s="29" t="n">
        <x:v>46266</x:v>
      </x:c>
      <x:c r="G12" s="20" t="str">
        <x:v>Capacity verified; interface adaptation open</x:v>
      </x:c>
    </x:row>
    <x:row r="13">
      <x:c r="A13" s="20" t="str">
        <x:v>Stand / VESA</x:v>
      </x:c>
      <x:c r="B13" s="20" t="str">
        <x:v>Colebrook Bosson Saunders</x:v>
      </x:c>
      <x:c r="C13" s="20" t="str">
        <x:v>Flo X</x:v>
      </x:c>
      <x:c r="D13" s="20" t="str">
        <x:v>Manufacturer product page</x:v>
      </x:c>
      <x:c r="E13" s="20" t="str">
        <x:v>https://www.colebrookbossonsaunders.com/en-au/products/flo-x</x:v>
      </x:c>
      <x:c r="F13" s="29" t="n">
        <x:v>46266</x:v>
      </x:c>
      <x:c r="G13" s="20" t="str">
        <x:v>Capacity verified; CAD adoption blocked</x:v>
      </x:c>
    </x:row>
    <x:row r="14">
      <x:c r="A14" s="20" t="str">
        <x:v>Stand / VESA</x:v>
      </x:c>
      <x:c r="B14" s="20" t="str">
        <x:v>Ergotron</x:v>
      </x:c>
      <x:c r="C14" s="20" t="str">
        <x:v>45-682-292 LX Pro Desk Arm</x:v>
      </x:c>
      <x:c r="D14" s="20" t="str">
        <x:v>Manufacturer datasheet</x:v>
      </x:c>
      <x:c r="E14" s="20" t="str">
        <x:v>https://media.ergotron.com/reserved/resources/specs-lx-pro-series-ea-orig.pdf</x:v>
      </x:c>
      <x:c r="F14" s="29" t="n">
        <x:v>46266</x:v>
      </x:c>
      <x:c r="G14" s="20" t="str">
        <x:v>Verified capacity mismatch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34" hidden="0" customWidth="1"/>
    <x:col min="4" max="4" width="34" hidden="0" customWidth="1"/>
  </x:cols>
  <x:sheetData>
    <x:row r="1" ht="34" customHeight="1">
      <x:c r="A1" s="19" t="str">
        <x:v>Hinoki Iteration 02 — Scoring Guide</x:v>
      </x:c>
      <x:c r="B1" s="20"/>
      <x:c r="C1" s="20"/>
      <x:c r="D1" s="20"/>
    </x:row>
    <x:row r="2">
      <x:c r="A2" s="4" t="str">
        <x:v>Visible weights and 0–5 definitions. A high score never overrides a hard requirement.</x:v>
      </x:c>
    </x:row>
    <x:row r="4" ht="30" customHeight="1">
      <x:c r="A4" s="13" t="str">
        <x:v>Dimension</x:v>
      </x:c>
      <x:c r="B4" s="14" t="str">
        <x:v>Weight</x:v>
      </x:c>
      <x:c r="C4" s="14" t="str">
        <x:v>0 score</x:v>
      </x:c>
      <x:c r="D4" s="15" t="str">
        <x:v>5 score</x:v>
      </x:c>
    </x:row>
    <x:row r="5">
      <x:c r="A5" t="str">
        <x:v>Hinoki specification fit</x:v>
      </x:c>
      <x:c r="B5" s="16" t="n">
        <x:v>0.35</x:v>
      </x:c>
      <x:c r="C5" t="str">
        <x:v>Hard mismatch or no evidence</x:v>
      </x:c>
      <x:c r="D5" t="str">
        <x:v>All required performance verified</x:v>
      </x:c>
    </x:row>
    <x:row r="6">
      <x:c r="A6" t="str">
        <x:v>CAD / mechanical fit</x:v>
      </x:c>
      <x:c r="B6" s="16" t="n">
        <x:v>0.25</x:v>
      </x:c>
      <x:c r="C6" t="str">
        <x:v>Does not fit</x:v>
      </x:c>
      <x:c r="D6" t="str">
        <x:v>Verified envelope, datums and keep-outs</x:v>
      </x:c>
    </x:row>
    <x:row r="7">
      <x:c r="A7" t="str">
        <x:v>Electrical / interface fit</x:v>
      </x:c>
      <x:c r="B7" s="16" t="n">
        <x:v>0.15</x:v>
      </x:c>
      <x:c r="C7" t="str">
        <x:v>Incompatible interface</x:v>
      </x:c>
      <x:c r="D7" t="str">
        <x:v>Directly compatible and documented</x:v>
      </x:c>
    </x:row>
    <x:row r="8">
      <x:c r="A8" t="str">
        <x:v>Thermal / power risk</x:v>
      </x:c>
      <x:c r="B8" s="16" t="n">
        <x:v>0.1</x:v>
      </x:c>
      <x:c r="C8" t="str">
        <x:v>Unbounded or unacceptable risk</x:v>
      </x:c>
      <x:c r="D8" t="str">
        <x:v>Low risk with complete evidence</x:v>
      </x:c>
    </x:row>
    <x:row r="9">
      <x:c r="A9" t="str">
        <x:v>Datasheet / CAD completeness</x:v>
      </x:c>
      <x:c r="B9" s="16" t="n">
        <x:v>0.1</x:v>
      </x:c>
      <x:c r="C9" t="str">
        <x:v>No usable documentation</x:v>
      </x:c>
      <x:c r="D9" t="str">
        <x:v>Official datasheet and CAD available</x:v>
      </x:c>
    </x:row>
    <x:row r="10">
      <x:c r="A10" t="str">
        <x:v>Availability confidence</x:v>
      </x:c>
      <x:c r="B10" s="16" t="n">
        <x:v>0.05</x:v>
      </x:c>
      <x:c r="C10" t="str">
        <x:v>No availability evidence</x:v>
      </x:c>
      <x:c r="D10" t="str">
        <x:v>Current manufacturer and channel evidence</x:v>
      </x:c>
    </x:row>
    <x:row r="12">
      <x:c r="A12" s="18" t="str">
        <x:v>Weighted score = SUM(dimension score × weight) / 5 × 100</x:v>
      </x:c>
    </x:row>
  </x:sheetData>
  <x:mergeCells>
    <x:mergeCell ref="A1:D1"/>
    <x:mergeCell ref="A12:D12"/>
  </x:mergeCells>
  <x:pageMargins left="0.7" right="0.7" top="0.75" bottom="0.75" header="0.3" footer="0.3"/>
</x:worksheet>
</file>