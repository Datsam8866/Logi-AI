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f7dcf02a0b4c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Parameter Table" sheetId="1" r:id="R7db547f596604de4"/>
    <x:sheet xmlns:r="http://schemas.openxmlformats.org/officeDocument/2006/relationships" name="Assumption Log" sheetId="2" r:id="R411dcf9683d84ffe"/>
    <x:sheet xmlns:r="http://schemas.openxmlformats.org/officeDocument/2006/relationships" name="Frozen Baseline" sheetId="3" r:id="Rd8ea663e37594406"/>
    <x:sheet xmlns:r="http://schemas.openxmlformats.org/officeDocument/2006/relationships" name="Preliminary Power Budget" sheetId="4" r:id="R005f24d7c35b474c"/>
    <x:sheet xmlns:r="http://schemas.openxmlformats.org/officeDocument/2006/relationships" name="Internal Space Claim" sheetId="5" r:id="R15411c90a1204b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#,##0"/>
    <x:numFmt numFmtId="202" formatCode="0.0%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sz val="9"/>
      <x:name val="Carlito"/>
    </x:font>
    <x:font>
      <x:b/>
      <x:sz val="9"/>
      <x:color rgb="FFFFFFFF"/>
      <x:name val="Carlito"/>
    </x:font>
    <x:font>
      <x:b/>
      <x:sz val="9"/>
      <x:color rgb="FF17365D"/>
      <x:name val="Carlito"/>
    </x:font>
    <x:font>
      <x:b/>
      <x:sz val="9"/>
      <x:color rgb="FF9C6500"/>
      <x:name val="Carlito"/>
    </x:font>
    <x:font>
      <x:b/>
      <x:sz val="14"/>
      <x:color rgb="FFFFFFFF"/>
      <x:name val="Carlito"/>
    </x:font>
    <x:font>
      <x:i/>
      <x:sz val="10"/>
      <x:color rgb="FF404040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B9DDEC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173B65"/>
      </x:patternFill>
    </x:fill>
    <x:fill>
      <x:patternFill patternType="solid">
        <x:fgColor rgb="FFD8EAF6"/>
      </x:patternFill>
    </x:fill>
    <x:fill>
      <x:patternFill patternType="solid">
        <x:fgColor rgb="FF317BB6"/>
      </x:patternFill>
    </x:fill>
    <x:fill>
      <x:patternFill patternType="solid">
        <x:fgColor rgb="FFD9EAD3"/>
      </x:patternFill>
    </x:fill>
  </x:fills>
  <x:borders count="2">
    <x:border/>
    <x:border>
      <x:left style="thin">
        <x:color rgb="FF9FC5E8"/>
      </x:left>
      <x:right style="thin">
        <x:color rgb="FF9FC5E8"/>
      </x:right>
      <x:top style="thin">
        <x:color rgb="FF9FC5E8"/>
      </x:top>
      <x:bottom style="thin">
        <x:color rgb="FF9FC5E8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left"/>
    </x:xf>
    <x:xf numFmtId="0" fontId="7" fillId="8" borderId="0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1" xfId="0" applyNumberFormat="1" applyFont="1" applyFill="1" applyBorder="1"/>
    <x:xf numFmtId="0" fontId="9" fillId="10" borderId="1" xfId="0" applyNumberFormat="1" applyFont="1" applyFill="1" applyBorder="1" applyAlignment="1">
      <x:alignment wrapText="1"/>
    </x:xf>
    <x:xf numFmtId="0" fontId="9" fillId="10" borderId="1" xfId="0" applyNumberFormat="1" applyFont="1" applyFill="1" applyBorder="1" applyAlignment="1">
      <x:alignment horizontal="center" wrapText="1"/>
    </x:xf>
    <x:xf numFmtId="0" fontId="9" fillId="10" borderId="1" xfId="0" applyNumberFormat="1" applyFont="1" applyFill="1" applyBorder="1" applyAlignment="1">
      <x:alignment horizontal="center" vertical="center" wrapText="1"/>
    </x:xf>
    <x:xf numFmtId="0" fontId="0" fillId="11" borderId="1" xfId="0" applyNumberFormat="1" applyFont="1" applyFill="1" applyBorder="1" applyAlignment="1">
      <x:alignment vertical="top" wrapText="1"/>
    </x:xf>
    <x:xf numFmtId="200" fontId="0" fillId="5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0" fillId="8" borderId="0" xfId="0" applyNumberFormat="1" applyFont="1" applyFill="1" applyBorder="1"/>
    <x:xf numFmtId="0" fontId="10" fillId="8" borderId="1" xfId="0" applyNumberFormat="1" applyFont="1" applyFill="1" applyBorder="1"/>
    <x:xf numFmtId="200" fontId="10" fillId="8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wrapText="1"/>
    </x:xf>
    <x:xf numFmtId="0" fontId="11" fillId="6" borderId="0" xfId="0" applyNumberFormat="1" applyFont="1" applyFill="1" applyBorder="1"/>
    <x:xf numFmtId="0" fontId="11" fillId="6" borderId="1" xfId="0" applyNumberFormat="1" applyFont="1" applyFill="1" applyBorder="1"/>
    <x:xf numFmtId="0" fontId="11" fillId="6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10" fillId="8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201" fontId="0" fillId="9" borderId="1" xfId="0" applyNumberFormat="1" applyFont="1" applyFill="1" applyBorder="1" applyAlignment="1">
      <x:alignment wrapText="1"/>
    </x:xf>
    <x:xf numFmtId="202" fontId="0" fillId="6" borderId="1" xfId="0" applyNumberFormat="1" applyFont="1" applyFill="1" applyBorder="1" applyAlignment="1">
      <x:alignment wrapText="1"/>
    </x:xf>
    <x:xf numFmtId="0" fontId="11" fillId="11" borderId="1" xfId="0" applyNumberFormat="1" applyFont="1" applyFill="1" applyBorder="1" applyAlignment="1">
      <x:alignment wrapText="1"/>
    </x:xf>
  </x:cellXfs>
  <x:cellStyles count="1">
    <x:cellStyle name="Normal" xfId="0"/>
  </x:cellStyles>
  <x:dxfs count="14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5ab87ad7be40f8" /><Relationship Type="http://schemas.openxmlformats.org/officeDocument/2006/relationships/theme" Target="/xl/theme/theme1.xml" Id="Rafd476249edd45f9" /><Relationship Type="http://schemas.openxmlformats.org/officeDocument/2006/relationships/sharedStrings" Target="/xl/sharedStrings.xml" Id="R8cc7222271ab472b" /><Relationship Type="http://schemas.openxmlformats.org/officeDocument/2006/relationships/worksheet" Target="/xl/worksheets/sheet1.xml" Id="R7db547f596604de4" /><Relationship Type="http://schemas.openxmlformats.org/officeDocument/2006/relationships/worksheet" Target="/xl/worksheets/sheet2.xml" Id="R411dcf9683d84ffe" /><Relationship Type="http://schemas.openxmlformats.org/officeDocument/2006/relationships/worksheet" Target="/xl/worksheets/sheet3.xml" Id="Rd8ea663e37594406" /><Relationship Type="http://schemas.openxmlformats.org/officeDocument/2006/relationships/worksheet" Target="/xl/worksheets/sheet4.xml" Id="R005f24d7c35b474c" /><Relationship Type="http://schemas.openxmlformats.org/officeDocument/2006/relationships/worksheet" Target="/xl/worksheets/sheet5.xml" Id="R15411c90a1204b91" /></Relationships>
</file>

<file path=xl/tables/table1.xml><?xml version="1.0" encoding="utf-8"?>
<x:table xmlns:x="http://schemas.openxmlformats.org/spreadsheetml/2006/main" id="1" name="MasterParameters" displayName="MasterParameters" ref="A4:O103" headerRowCount="1" totalsRowCount="0" totalsRowShown="0">
  <x:tableColumns count="15">
    <x:tableColumn id="1" name="ID"/>
    <x:tableColumn id="2" name="Category"/>
    <x:tableColumn id="3" name="Parameter"/>
    <x:tableColumn id="4" name="Dixie65 Value"/>
    <x:tableColumn id="5" name="Hinoki Target / Value"/>
    <x:tableColumn id="6" name="Units"/>
    <x:tableColumn id="7" name="Classification"/>
    <x:tableColumn id="8" name="Source Document / File"/>
    <x:tableColumn id="9" name="Page / Section / CAD Feature"/>
    <x:tableColumn id="10" name="Derivation / Rationale"/>
    <x:tableColumn id="11" name="Confidence / Notes"/>
    <x:tableColumn id="12" name="CAD-Driving?"/>
    <x:tableColumn id="13" name="Scaling Treatment"/>
    <x:tableColumn id="14" name="Assumption ID"/>
    <x:tableColumn id="15" name="Consistency / Traceability Chec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inokiAssumptions" displayName="HinokiAssumptions" ref="A4:K16" headerRowCount="1" totalsRowCount="0" totalsRowShown="0">
  <x:tableColumns count="11">
    <x:tableColumn id="1" name="Assumption ID"/>
    <x:tableColumn id="2" name="Category"/>
    <x:tableColumn id="3" name="Assumption / Provisional Value"/>
    <x:tableColumn id="4" name="Units"/>
    <x:tableColumn id="5" name="Why Needed"/>
    <x:tableColumn id="6" name="Affected Master Parameters"/>
    <x:tableColumn id="7" name="Impact if Wrong"/>
    <x:tableColumn id="8" name="Validation / Closure Evidence"/>
    <x:tableColumn id="9" name="Owner"/>
    <x:tableColumn id="10" name="Status"/>
    <x:tableColumn id="11" name="Confidence /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9cbb7e9751496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33b22dc47ab4d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30" hidden="0" customWidth="1"/>
    <x:col min="4" max="4" width="30" hidden="0" customWidth="1"/>
    <x:col min="5" max="5" width="34" hidden="0" customWidth="1"/>
    <x:col min="6" max="6" width="14" hidden="0" customWidth="1"/>
    <x:col min="7" max="7" width="14" hidden="0" customWidth="1"/>
    <x:col min="8" max="8" width="38" hidden="0" customWidth="1"/>
    <x:col min="9" max="9" width="30" hidden="0" customWidth="1"/>
    <x:col min="10" max="10" width="42" hidden="0" customWidth="1"/>
    <x:col min="11" max="11" width="34" hidden="0" customWidth="1"/>
    <x:col min="12" max="12" width="13" hidden="0" customWidth="1"/>
    <x:col min="13" max="13" width="19" hidden="0" customWidth="1"/>
    <x:col min="14" max="14" width="16" hidden="0" customWidth="1"/>
    <x:col min="15" max="15" width="32" hidden="0" customWidth="1"/>
  </x:cols>
  <x:sheetData>
    <x:row r="1" ht="30" customHeight="1">
      <x:c r="A1" s="4" t="str">
        <x:v>Dixie65 → Hinoki Master Parameter Table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34" customHeight="1">
      <x:c r="A2" s="8" t="str">
        <x:v>Source-traceable concept inputs only — no CAD generated. Classification vocabulary: Known / Derived / Assumed / TBD.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</x:row>
    <x:row r="4" ht="44" customHeight="1">
      <x:c r="A4" s="14" t="str">
        <x:v>ID</x:v>
      </x:c>
      <x:c r="B4" s="14" t="str">
        <x:v>Category</x:v>
      </x:c>
      <x:c r="C4" s="14" t="str">
        <x:v>Parameter</x:v>
      </x:c>
      <x:c r="D4" s="14" t="str">
        <x:v>Dixie65 Value</x:v>
      </x:c>
      <x:c r="E4" s="14" t="str">
        <x:v>Hinoki Target / Value</x:v>
      </x:c>
      <x:c r="F4" s="14" t="str">
        <x:v>Units</x:v>
      </x:c>
      <x:c r="G4" s="14" t="str">
        <x:v>Classification</x:v>
      </x:c>
      <x:c r="H4" s="14" t="str">
        <x:v>Source Document / File</x:v>
      </x:c>
      <x:c r="I4" s="14" t="str">
        <x:v>Page / Section / CAD Feature</x:v>
      </x:c>
      <x:c r="J4" s="14" t="str">
        <x:v>Derivation / Rationale</x:v>
      </x:c>
      <x:c r="K4" s="14" t="str">
        <x:v>Confidence / Notes</x:v>
      </x:c>
      <x:c r="L4" s="14" t="str">
        <x:v>CAD-Driving?</x:v>
      </x:c>
      <x:c r="M4" s="14" t="str">
        <x:v>Scaling Treatment</x:v>
      </x:c>
      <x:c r="N4" s="14" t="str">
        <x:v>Assumption ID</x:v>
      </x:c>
      <x:c r="O4" s="14" t="str">
        <x:v>Consistency / Traceability Check</x:v>
      </x:c>
    </x:row>
    <x:row r="5" ht="56" customHeight="1">
      <x:c r="A5" s="15" t="str">
        <x:v>MP-001</x:v>
      </x:c>
      <x:c r="B5" s="11" t="str">
        <x:v>Product Requirement</x:v>
      </x:c>
      <x:c r="C5" s="11" t="str">
        <x:v>Product use case</x:v>
      </x:c>
      <x:c r="D5" s="11" t="str">
        <x:v>Large-room 65-inch collaboration display</x:v>
      </x:c>
      <x:c r="E5" s="11" t="str">
        <x:v>32-inch desktop / focus-room all-in-one</x:v>
      </x:c>
      <x:c r="F5" s="11" t="str">
        <x:v>—</x:v>
      </x:c>
      <x:c r="G5" s="11" t="str">
        <x:v>Known</x:v>
      </x:c>
      <x:c r="H5" s="11" t="str">
        <x:v>User request; Dixie and Hinoki table.xlsx</x:v>
      </x:c>
      <x:c r="I5" s="11" t="str">
        <x:v>Prompt; Sheet1 row 5</x:v>
      </x:c>
      <x:c r="J5" s="11" t="str">
        <x:v>Hinoki is a new desktop packaging problem; Dixie is an architectural reference.</x:v>
      </x:c>
      <x:c r="K5" s="11" t="str">
        <x:v>High</x:v>
      </x:c>
      <x:c r="L5" s="11" t="str">
        <x:v>Yes</x:v>
      </x:c>
      <x:c r="M5" s="11" t="str">
        <x:v>Do not scale</x:v>
      </x:c>
      <x:c r="N5" s="11" t="str"/>
      <x:c r="O5" s="11" t="str">
        <x:v>Pass</x:v>
      </x:c>
    </x:row>
    <x:row r="6" ht="56" customHeight="1">
      <x:c r="A6" s="15" t="str">
        <x:v>MP-002</x:v>
      </x:c>
      <x:c r="B6" s="11" t="str">
        <x:v>Panel</x:v>
      </x:c>
      <x:c r="C6" s="11" t="str">
        <x:v>Nominal display diagonal</x:v>
      </x:c>
      <x:c r="D6" s="11" t="str">
        <x:v>65</x:v>
      </x:c>
      <x:c r="E6" s="11" t="str">
        <x:v>32</x:v>
      </x:c>
      <x:c r="F6" s="11" t="str">
        <x:v>in</x:v>
      </x:c>
      <x:c r="G6" s="11" t="str">
        <x:v>Known</x:v>
      </x:c>
      <x:c r="H6" s="11" t="str">
        <x:v>Dixie and Hinoki table.xlsx; User request</x:v>
      </x:c>
      <x:c r="I6" s="11" t="str">
        <x:v>Sheet1 row 5; prompt</x:v>
      </x:c>
      <x:c r="J6" s="11" t="str">
        <x:v>Direct product requirement.</x:v>
      </x:c>
      <x:c r="K6" s="11" t="str">
        <x:v>High</x:v>
      </x:c>
      <x:c r="L6" s="11" t="str">
        <x:v>Yes</x:v>
      </x:c>
      <x:c r="M6" s="11" t="str">
        <x:v>Direct requirement</x:v>
      </x:c>
      <x:c r="N6" s="11" t="str"/>
      <x:c r="O6" s="11" t="str">
        <x:v>Pass</x:v>
      </x:c>
    </x:row>
    <x:row r="7" ht="56" customHeight="1">
      <x:c r="A7" s="15" t="str">
        <x:v>MP-003</x:v>
      </x:c>
      <x:c r="B7" s="11" t="str">
        <x:v>Panel</x:v>
      </x:c>
      <x:c r="C7" s="11" t="str">
        <x:v>Resolution</x:v>
      </x:c>
      <x:c r="D7" s="11" t="str">
        <x:v>TBD in supplied files</x:v>
      </x:c>
      <x:c r="E7" s="11" t="str">
        <x:v>3840 × 2160 (4K UHD)</x:v>
      </x:c>
      <x:c r="F7" s="11" t="str">
        <x:v>pixels</x:v>
      </x:c>
      <x:c r="G7" s="11" t="str">
        <x:v>Assumed</x:v>
      </x:c>
      <x:c r="H7" s="11" t="str">
        <x:v>User request</x:v>
      </x:c>
      <x:c r="I7" s="11" t="str">
        <x:v>Prompt says 4K; exact raster not stated</x:v>
      </x:c>
      <x:c r="J7" s="11" t="str">
        <x:v>Use UHD raster as provisional interpretation of 4K.</x:v>
      </x:c>
      <x:c r="K7" s="11" t="str">
        <x:v>Medium; confirm whether DCI 4096 × 2160 is excluded.</x:v>
      </x:c>
      <x:c r="L7" s="11" t="str">
        <x:v>Yes</x:v>
      </x:c>
      <x:c r="M7" s="11" t="str">
        <x:v>Do not scale</x:v>
      </x:c>
      <x:c r="N7" s="11" t="str">
        <x:v>A-001</x:v>
      </x:c>
      <x:c r="O7" s="11" t="str">
        <x:v>Open: exact 4K raster requires PRD confirmation</x:v>
      </x:c>
    </x:row>
    <x:row r="8" ht="56" customHeight="1">
      <x:c r="A8" s="15" t="str">
        <x:v>MP-004</x:v>
      </x:c>
      <x:c r="B8" s="11" t="str">
        <x:v>Panel</x:v>
      </x:c>
      <x:c r="C8" s="11" t="str">
        <x:v>Display aspect ratio</x:v>
      </x:c>
      <x:c r="D8" s="11" t="str">
        <x:v>TBD in supplied files</x:v>
      </x:c>
      <x:c r="E8" s="11" t="str">
        <x:v>16:9</x:v>
      </x:c>
      <x:c r="F8" s="11" t="str">
        <x:v>ratio</x:v>
      </x:c>
      <x:c r="G8" s="11" t="str">
        <x:v>Assumed</x:v>
      </x:c>
      <x:c r="H8" s="11" t="str">
        <x:v>Hinoki Assumption Log</x:v>
      </x:c>
      <x:c r="I8" s="11" t="str">
        <x:v>A-002</x:v>
      </x:c>
      <x:c r="J8" s="11" t="str">
        <x:v>Typical 32-inch UHD conferencing panel format; needed for active-area derivation.</x:v>
      </x:c>
      <x:c r="K8" s="11" t="str">
        <x:v>Medium</x:v>
      </x:c>
      <x:c r="L8" s="11" t="str">
        <x:v>Yes</x:v>
      </x:c>
      <x:c r="M8" s="11" t="str">
        <x:v>Do not scale</x:v>
      </x:c>
      <x:c r="N8" s="11" t="str">
        <x:v>A-002</x:v>
      </x:c>
      <x:c r="O8" s="11" t="str">
        <x:v>Pass</x:v>
      </x:c>
    </x:row>
    <x:row r="9" ht="56" customHeight="1">
      <x:c r="A9" s="15" t="str">
        <x:v>MP-005</x:v>
      </x:c>
      <x:c r="B9" s="11" t="str">
        <x:v>Panel</x:v>
      </x:c>
      <x:c r="C9" s="11" t="str">
        <x:v>Derived active width</x:v>
      </x:c>
      <x:c r="D9" s="11" t="str">
        <x:v>TBD</x:v>
      </x:c>
      <x:c r="E9" s="11" t="n">
        <x:f>ROUND(25.4*32*16/SQRT(16^2+9^2),1)</x:f>
        <x:v>708.4</x:v>
      </x:c>
      <x:c r="F9" s="11" t="str">
        <x:v>mm</x:v>
      </x:c>
      <x:c r="G9" s="11" t="str">
        <x:v>Derived</x:v>
      </x:c>
      <x:c r="H9" s="11" t="str">
        <x:v>MP-002; MP-004</x:v>
      </x:c>
      <x:c r="I9" s="11" t="str">
        <x:v>32-inch diagonal and assumed 16:9</x:v>
      </x:c>
      <x:c r="J9" s="11" t="str">
        <x:v>25.4 × 32 × 16 / √(16²+9²).</x:v>
      </x:c>
      <x:c r="K9" s="11" t="str">
        <x:v>High conditional on A-002</x:v>
      </x:c>
      <x:c r="L9" s="11" t="str">
        <x:v>Yes</x:v>
      </x:c>
      <x:c r="M9" s="11" t="str">
        <x:v>Re-derive</x:v>
      </x:c>
      <x:c r="N9" s="11" t="str">
        <x:v>A-002</x:v>
      </x:c>
      <x:c r="O9" s="11" t="str">
        <x:v>Pass</x:v>
      </x:c>
    </x:row>
    <x:row r="10" ht="56" customHeight="1">
      <x:c r="A10" s="15" t="str">
        <x:v>MP-006</x:v>
      </x:c>
      <x:c r="B10" s="11" t="str">
        <x:v>Panel</x:v>
      </x:c>
      <x:c r="C10" s="11" t="str">
        <x:v>Derived active height</x:v>
      </x:c>
      <x:c r="D10" s="11" t="str">
        <x:v>TBD</x:v>
      </x:c>
      <x:c r="E10" s="11" t="n">
        <x:f>ROUND(25.4*32*9/SQRT(16^2+9^2),1)</x:f>
        <x:v>398.5</x:v>
      </x:c>
      <x:c r="F10" s="11" t="str">
        <x:v>mm</x:v>
      </x:c>
      <x:c r="G10" s="11" t="str">
        <x:v>Derived</x:v>
      </x:c>
      <x:c r="H10" s="11" t="str">
        <x:v>MP-002; MP-004</x:v>
      </x:c>
      <x:c r="I10" s="11" t="str">
        <x:v>32-inch diagonal and assumed 16:9</x:v>
      </x:c>
      <x:c r="J10" s="11" t="str">
        <x:v>25.4 × 32 × 9 / √(16²+9²).</x:v>
      </x:c>
      <x:c r="K10" s="11" t="str">
        <x:v>High conditional on A-002</x:v>
      </x:c>
      <x:c r="L10" s="11" t="str">
        <x:v>Yes</x:v>
      </x:c>
      <x:c r="M10" s="11" t="str">
        <x:v>Re-derive</x:v>
      </x:c>
      <x:c r="N10" s="11" t="str">
        <x:v>A-002</x:v>
      </x:c>
      <x:c r="O10" s="11" t="str">
        <x:v>Pass</x:v>
      </x:c>
    </x:row>
    <x:row r="11" ht="56" customHeight="1">
      <x:c r="A11" s="15" t="str">
        <x:v>MP-007</x:v>
      </x:c>
      <x:c r="B11" s="11" t="str">
        <x:v>Panel</x:v>
      </x:c>
      <x:c r="C11" s="11" t="str">
        <x:v>Derived pixel pitch</x:v>
      </x:c>
      <x:c r="D11" s="11" t="str">
        <x:v>TBD</x:v>
      </x:c>
      <x:c r="E11" s="11" t="n">
        <x:f>ROUND(E9/3840,4)</x:f>
        <x:v>0.1845</x:v>
      </x:c>
      <x:c r="F11" s="11" t="str">
        <x:v>mm/pixel</x:v>
      </x:c>
      <x:c r="G11" s="11" t="str">
        <x:v>Derived</x:v>
      </x:c>
      <x:c r="H11" s="11" t="str">
        <x:v>MP-003; MP-005</x:v>
      </x:c>
      <x:c r="I11" s="11" t="str">
        <x:v>UHD horizontal pixels and derived active width</x:v>
      </x:c>
      <x:c r="J11" s="11" t="str">
        <x:v>708.4 / 3840.</x:v>
      </x:c>
      <x:c r="K11" s="11" t="str">
        <x:v>Medium; panel datasheet must supersede.</x:v>
      </x:c>
      <x:c r="L11" s="11" t="str">
        <x:v>Yes</x:v>
      </x:c>
      <x:c r="M11" s="11" t="str">
        <x:v>Re-derive</x:v>
      </x:c>
      <x:c r="N11" s="11" t="str">
        <x:v>A-001; A-002</x:v>
      </x:c>
      <x:c r="O11" s="11" t="str">
        <x:v>Pass</x:v>
      </x:c>
    </x:row>
    <x:row r="12" ht="56" customHeight="1">
      <x:c r="A12" s="15" t="str">
        <x:v>MP-008</x:v>
      </x:c>
      <x:c r="B12" s="11" t="str">
        <x:v>Panel</x:v>
      </x:c>
      <x:c r="C12" s="11" t="str">
        <x:v>Touch technology</x:v>
      </x:c>
      <x:c r="D12" s="11" t="str">
        <x:v>IR touch frame</x:v>
      </x:c>
      <x:c r="E12" s="11" t="str">
        <x:v>Projected capacitive touch</x:v>
      </x:c>
      <x:c r="F12" s="11" t="str">
        <x:v>—</x:v>
      </x:c>
      <x:c r="G12" s="11" t="str">
        <x:v>Known</x:v>
      </x:c>
      <x:c r="H12" s="11" t="str">
        <x:v>Dixie and Hinoki table.xlsx; User request</x:v>
      </x:c>
      <x:c r="I12" s="11" t="str">
        <x:v>Sheet1 row 5; prompt</x:v>
      </x:c>
      <x:c r="J12" s="11" t="str">
        <x:v>Direct Hinoki requirement; IR frame geometry must not be scaled.</x:v>
      </x:c>
      <x:c r="K12" s="11" t="str">
        <x:v>High</x:v>
      </x:c>
      <x:c r="L12" s="11" t="str">
        <x:v>Yes</x:v>
      </x:c>
      <x:c r="M12" s="11" t="str">
        <x:v>Do not scale</x:v>
      </x:c>
      <x:c r="N12" s="11" t="str"/>
      <x:c r="O12" s="11" t="str">
        <x:v>Pass</x:v>
      </x:c>
    </x:row>
    <x:row r="13" ht="56" customHeight="1">
      <x:c r="A13" s="15" t="str">
        <x:v>MP-009</x:v>
      </x:c>
      <x:c r="B13" s="11" t="str">
        <x:v>Panel</x:v>
      </x:c>
      <x:c r="C13" s="11" t="str">
        <x:v>Top glass / cover lens</x:v>
      </x:c>
      <x:c r="D13" s="11" t="str">
        <x:v>1465.3 × 845.6 × 4; description also states T=3.2</x:v>
      </x:c>
      <x:c r="E13" s="11" t="str">
        <x:v>TBD by selected panel and capacitive stack</x:v>
      </x:c>
      <x:c r="F13" s="11" t="str">
        <x:v>mm</x:v>
      </x:c>
      <x:c r="G13" s="11" t="str">
        <x:v>TBD</x:v>
      </x:c>
      <x:c r="H13" s="11" t="str">
        <x:v>Dixie BOM</x:v>
      </x:c>
      <x:c r="I13" s="11" t="str">
        <x:v>Other Parts, Top Glass item</x:v>
      </x:c>
      <x:c r="J13" s="11" t="str">
        <x:v>Dixie glass documents AG/AFP/antimicrobial intent, but Hinoki stack dimensions depend on panel/touch vendor.</x:v>
      </x:c>
      <x:c r="K13" s="11" t="str">
        <x:v>High for Dixie values; source has thickness inconsistency.</x:v>
      </x:c>
      <x:c r="L13" s="11" t="str">
        <x:v>Yes</x:v>
      </x:c>
      <x:c r="M13" s="11" t="str">
        <x:v>Re-derive</x:v>
      </x:c>
      <x:c r="N13" s="11" t="str"/>
      <x:c r="O13" s="11" t="str">
        <x:v>Open: 4 mm dimension conflicts with T=3.2 mm text</x:v>
      </x:c>
    </x:row>
    <x:row r="14" ht="56" customHeight="1">
      <x:c r="A14" s="15" t="str">
        <x:v>MP-010</x:v>
      </x:c>
      <x:c r="B14" s="11" t="str">
        <x:v>Panel</x:v>
      </x:c>
      <x:c r="C14" s="11" t="str">
        <x:v>Cover-glass surface treatment</x:v>
      </x:c>
      <x:c r="D14" s="11" t="str">
        <x:v>AG / AFP / antimicrobial noted</x:v>
      </x:c>
      <x:c r="E14" s="11" t="str">
        <x:v>AG / AFP target; antimicrobial TBD</x:v>
      </x:c>
      <x:c r="F14" s="11" t="str">
        <x:v>—</x:v>
      </x:c>
      <x:c r="G14" s="11" t="str">
        <x:v>TBD</x:v>
      </x:c>
      <x:c r="H14" s="11" t="str">
        <x:v>Dixie BOM; Dixie and Hinoki table.xlsx</x:v>
      </x:c>
      <x:c r="I14" s="11" t="str">
        <x:v>Other Parts Top Glass; Sheet1 row 5</x:v>
      </x:c>
      <x:c r="J14" s="11" t="str">
        <x:v>Preserve glare and fingerprint-control philosophy; final coating specification needs optical/touch validation.</x:v>
      </x:c>
      <x:c r="K14" s="11" t="str">
        <x:v>Medium</x:v>
      </x:c>
      <x:c r="L14" s="11" t="str">
        <x:v>No</x:v>
      </x:c>
      <x:c r="M14" s="11" t="str">
        <x:v>Preserve intent</x:v>
      </x:c>
      <x:c r="N14" s="11" t="str"/>
      <x:c r="O14" s="11" t="str">
        <x:v>Pass</x:v>
      </x:c>
    </x:row>
    <x:row r="15" ht="56" customHeight="1">
      <x:c r="A15" s="15" t="str">
        <x:v>MP-011</x:v>
      </x:c>
      <x:c r="B15" s="11" t="str">
        <x:v>Panel</x:v>
      </x:c>
      <x:c r="C15" s="11" t="str">
        <x:v>Stylus</x:v>
      </x:c>
      <x:c r="D15" s="11" t="str">
        <x:v>Passive stylus</x:v>
      </x:c>
      <x:c r="E15" s="11" t="str">
        <x:v>None</x:v>
      </x:c>
      <x:c r="F15" s="11" t="str">
        <x:v>—</x:v>
      </x:c>
      <x:c r="G15" s="11" t="str">
        <x:v>Known</x:v>
      </x:c>
      <x:c r="H15" s="11" t="str">
        <x:v>Dixie and Hinoki table.xlsx</x:v>
      </x:c>
      <x:c r="I15" s="11" t="str">
        <x:v>Sheet1 row 5</x:v>
      </x:c>
      <x:c r="J15" s="11" t="str">
        <x:v>Direct plan-of-record difference.</x:v>
      </x:c>
      <x:c r="K15" s="11" t="str">
        <x:v>High</x:v>
      </x:c>
      <x:c r="L15" s="11" t="str">
        <x:v>No</x:v>
      </x:c>
      <x:c r="M15" s="11" t="str">
        <x:v>Do not scale</x:v>
      </x:c>
      <x:c r="N15" s="11" t="str"/>
      <x:c r="O15" s="11" t="str">
        <x:v>Pass</x:v>
      </x:c>
    </x:row>
    <x:row r="16" ht="56" customHeight="1">
      <x:c r="A16" s="15" t="str">
        <x:v>MP-012</x:v>
      </x:c>
      <x:c r="B16" s="11" t="str">
        <x:v>Mechanical</x:v>
      </x:c>
      <x:c r="C16" s="11" t="str">
        <x:v>Dixie head mass</x:v>
      </x:c>
      <x:c r="D16" s="11" t="str">
        <x:v>42</x:v>
      </x:c>
      <x:c r="E16" s="11" t="str">
        <x:v>TBD</x:v>
      </x:c>
      <x:c r="F16" s="11" t="str">
        <x:v>kg</x:v>
      </x:c>
      <x:c r="G16" s="11" t="str">
        <x:v>Known</x:v>
      </x:c>
      <x:c r="H16" s="11" t="str">
        <x:v>Dixie BOM</x:v>
      </x:c>
      <x:c r="I16" s="11" t="str">
        <x:v>Set &amp; Carton sheet, Net (Head)</x:v>
      </x:c>
      <x:c r="J16" s="11" t="str">
        <x:v>Reference load only; Hinoki mass must be rebuilt from selected panel, chassis and stand.</x:v>
      </x:c>
      <x:c r="K16" s="11" t="str">
        <x:v>High</x:v>
      </x:c>
      <x:c r="L16" s="11" t="str">
        <x:v>Yes</x:v>
      </x:c>
      <x:c r="M16" s="11" t="str">
        <x:v>Do not scale</x:v>
      </x:c>
      <x:c r="N16" s="11" t="str"/>
      <x:c r="O16" s="11" t="str">
        <x:v>Pass</x:v>
      </x:c>
    </x:row>
    <x:row r="17" ht="56" customHeight="1">
      <x:c r="A17" s="15" t="str">
        <x:v>MP-013</x:v>
      </x:c>
      <x:c r="B17" s="11" t="str">
        <x:v>Mechanical</x:v>
      </x:c>
      <x:c r="C17" s="11" t="str">
        <x:v>Main housing envelope</x:v>
      </x:c>
      <x:c r="D17" s="11" t="str">
        <x:v>14498.4 × 986.8 × 66.2 (source literal)</x:v>
      </x:c>
      <x:c r="E17" s="11" t="str">
        <x:v>TBD</x:v>
      </x:c>
      <x:c r="F17" s="11" t="str">
        <x:v>mm</x:v>
      </x:c>
      <x:c r="G17" s="11" t="str">
        <x:v>Known</x:v>
      </x:c>
      <x:c r="H17" s="11" t="str">
        <x:v>Dixie BOM</x:v>
      </x:c>
      <x:c r="I17" s="11" t="str">
        <x:v>Plastic Parts List, Main Housing</x:v>
      </x:c>
      <x:c r="J17" s="11" t="str">
        <x:v>Source literal is inconsistent with 65-inch product and top-glass width; likely decimal-entry error, so it must not drive Hinoki CAD.</x:v>
      </x:c>
      <x:c r="K17" s="11" t="str">
        <x:v>Low for first dimension; high for source transcription.</x:v>
      </x:c>
      <x:c r="L17" s="11" t="str">
        <x:v>No</x:v>
      </x:c>
      <x:c r="M17" s="11" t="str">
        <x:v>Do not scale</x:v>
      </x:c>
      <x:c r="N17" s="11" t="str"/>
      <x:c r="O17" s="11" t="str">
        <x:v>Fail: 14498.4 mm conflicts with 1465.3 mm glass width</x:v>
      </x:c>
    </x:row>
    <x:row r="18" ht="56" customHeight="1">
      <x:c r="A18" s="15" t="str">
        <x:v>MP-014</x:v>
      </x:c>
      <x:c r="B18" s="11" t="str">
        <x:v>Mechanical</x:v>
      </x:c>
      <x:c r="C18" s="11" t="str">
        <x:v>Rear housing nominal wall thickness</x:v>
      </x:c>
      <x:c r="D18" s="11" t="str">
        <x:v>3.5</x:v>
      </x:c>
      <x:c r="E18" s="11" t="str">
        <x:v>TBD after structure / molding study</x:v>
      </x:c>
      <x:c r="F18" s="11" t="str">
        <x:v>mm</x:v>
      </x:c>
      <x:c r="G18" s="11" t="str">
        <x:v>Known</x:v>
      </x:c>
      <x:c r="H18" s="11" t="str">
        <x:v>Dixie BOM</x:v>
      </x:c>
      <x:c r="I18" s="11" t="str">
        <x:v>Plastic Parts List, Main Housing</x:v>
      </x:c>
      <x:c r="J18" s="11" t="str">
        <x:v>Dixie molding reference only; smaller enclosure needs its own rib, boss, flatness and tooling analysis.</x:v>
      </x:c>
      <x:c r="K18" s="11" t="str">
        <x:v>High</x:v>
      </x:c>
      <x:c r="L18" s="11" t="str">
        <x:v>Yes</x:v>
      </x:c>
      <x:c r="M18" s="11" t="str">
        <x:v>Re-derive</x:v>
      </x:c>
      <x:c r="N18" s="11" t="str"/>
      <x:c r="O18" s="11" t="str">
        <x:v>Pass</x:v>
      </x:c>
    </x:row>
    <x:row r="19" ht="56" customHeight="1">
      <x:c r="A19" s="15" t="str">
        <x:v>MP-015</x:v>
      </x:c>
      <x:c r="B19" s="11" t="str">
        <x:v>Industrial Design</x:v>
      </x:c>
      <x:c r="C19" s="11" t="str">
        <x:v>Rear housing material strategy</x:v>
      </x:c>
      <x:c r="D19" s="11" t="str">
        <x:v>85% PCR PC/ABS graphite or 50% PCR PC/ABS off-white; V0</x:v>
      </x:c>
      <x:c r="E19" s="11" t="str">
        <x:v>PCR PC/ABS, V0 target; grade and PCR percentage TBD</x:v>
      </x:c>
      <x:c r="F19" s="11" t="str">
        <x:v>—</x:v>
      </x:c>
      <x:c r="G19" s="11" t="str">
        <x:v>Derived</x:v>
      </x:c>
      <x:c r="H19" s="11" t="str">
        <x:v>Dixie BOM</x:v>
      </x:c>
      <x:c r="I19" s="11" t="str">
        <x:v>Plastic Parts List, Main Housing</x:v>
      </x:c>
      <x:c r="J19" s="11" t="str">
        <x:v>Preserve recycled-material and flame-rating philosophy without locking a grade before structural/thermal qualification.</x:v>
      </x:c>
      <x:c r="K19" s="11" t="str">
        <x:v>Medium</x:v>
      </x:c>
      <x:c r="L19" s="11" t="str">
        <x:v>Yes</x:v>
      </x:c>
      <x:c r="M19" s="11" t="str">
        <x:v>Preserve intent</x:v>
      </x:c>
      <x:c r="N19" s="11" t="str"/>
      <x:c r="O19" s="11" t="str">
        <x:v>Pass</x:v>
      </x:c>
    </x:row>
    <x:row r="20" ht="56" customHeight="1">
      <x:c r="A20" s="15" t="str">
        <x:v>MP-016</x:v>
      </x:c>
      <x:c r="B20" s="11" t="str">
        <x:v>Industrial Design</x:v>
      </x:c>
      <x:c r="C20" s="11" t="str">
        <x:v>Colorways</x:v>
      </x:c>
      <x:c r="D20" s="11" t="str">
        <x:v>Graphite / off-white</x:v>
      </x:c>
      <x:c r="E20" s="11" t="str">
        <x:v>Graphite / off-white intent; CMF TBD</x:v>
      </x:c>
      <x:c r="F20" s="11" t="str">
        <x:v>—</x:v>
      </x:c>
      <x:c r="G20" s="11" t="str">
        <x:v>Derived</x:v>
      </x:c>
      <x:c r="H20" s="11" t="str">
        <x:v>Dixie BOM</x:v>
      </x:c>
      <x:c r="I20" s="11" t="str">
        <x:v>Plastic Parts List, multiple exterior parts</x:v>
      </x:c>
      <x:c r="J20" s="11" t="str">
        <x:v>Carry Dixie family language as concept intent.</x:v>
      </x:c>
      <x:c r="K20" s="11" t="str">
        <x:v>Medium</x:v>
      </x:c>
      <x:c r="L20" s="11" t="str">
        <x:v>No</x:v>
      </x:c>
      <x:c r="M20" s="11" t="str">
        <x:v>Preserve intent</x:v>
      </x:c>
      <x:c r="N20" s="11" t="str"/>
      <x:c r="O20" s="11" t="str">
        <x:v>Pass</x:v>
      </x:c>
    </x:row>
    <x:row r="21" ht="56" customHeight="1">
      <x:c r="A21" s="15" t="str">
        <x:v>MP-017</x:v>
      </x:c>
      <x:c r="B21" s="11" t="str">
        <x:v>Mechanical</x:v>
      </x:c>
      <x:c r="C21" s="11" t="str">
        <x:v>Dixie camera-barrel upper cover envelope</x:v>
      </x:c>
      <x:c r="D21" s="11" t="str">
        <x:v>129.8 × 70.8 × 34.9</x:v>
      </x:c>
      <x:c r="E21" s="11" t="str">
        <x:v>TBD</x:v>
      </x:c>
      <x:c r="F21" s="11" t="str">
        <x:v>mm</x:v>
      </x:c>
      <x:c r="G21" s="11" t="str">
        <x:v>Known</x:v>
      </x:c>
      <x:c r="H21" s="11" t="str">
        <x:v>Dixie BOM; 3V65008203A3_CAMERA BARREL UPPER_ASM_PMP_MP.pdf</x:v>
      </x:c>
      <x:c r="I21" s="11" t="str">
        <x:v>Plastic Parts List item 21-1; drawing feature</x:v>
      </x:c>
      <x:c r="J21" s="11" t="str">
        <x:v>Reference packaging only; Hinoki camera optical path and shutter require re-layout.</x:v>
      </x:c>
      <x:c r="K21" s="11" t="str">
        <x:v>High</x:v>
      </x:c>
      <x:c r="L21" s="11" t="str">
        <x:v>No</x:v>
      </x:c>
      <x:c r="M21" s="11" t="str">
        <x:v>Do not scale</x:v>
      </x:c>
      <x:c r="N21" s="11" t="str"/>
      <x:c r="O21" s="11" t="str">
        <x:v>Pass</x:v>
      </x:c>
    </x:row>
    <x:row r="22" ht="56" customHeight="1">
      <x:c r="A22" s="15" t="str">
        <x:v>MP-018</x:v>
      </x:c>
      <x:c r="B22" s="11" t="str">
        <x:v>Mechanical</x:v>
      </x:c>
      <x:c r="C22" s="11" t="str">
        <x:v>Dixie camera-barrel lower cover envelope</x:v>
      </x:c>
      <x:c r="D22" s="11" t="str">
        <x:v>129.8 × 70.8 × 48.7</x:v>
      </x:c>
      <x:c r="E22" s="11" t="str">
        <x:v>TBD</x:v>
      </x:c>
      <x:c r="F22" s="11" t="str">
        <x:v>mm</x:v>
      </x:c>
      <x:c r="G22" s="11" t="str">
        <x:v>Known</x:v>
      </x:c>
      <x:c r="H22" s="11" t="str">
        <x:v>Dixie BOM; 3V65009203A3_CAMERA BARREL LOWER_ASM_PMP_MP.pdf</x:v>
      </x:c>
      <x:c r="I22" s="11" t="str">
        <x:v>Plastic Parts List item 21-2; drawing feature</x:v>
      </x:c>
      <x:c r="J22" s="11" t="str">
        <x:v>Reference packaging only.</x:v>
      </x:c>
      <x:c r="K22" s="11" t="str">
        <x:v>High</x:v>
      </x:c>
      <x:c r="L22" s="11" t="str">
        <x:v>No</x:v>
      </x:c>
      <x:c r="M22" s="11" t="str">
        <x:v>Do not scale</x:v>
      </x:c>
      <x:c r="N22" s="11" t="str"/>
      <x:c r="O22" s="11" t="str">
        <x:v>Pass</x:v>
      </x:c>
    </x:row>
    <x:row r="23" ht="56" customHeight="1">
      <x:c r="A23" s="15" t="str">
        <x:v>MP-019</x:v>
      </x:c>
      <x:c r="B23" s="11" t="str">
        <x:v>Mechanical</x:v>
      </x:c>
      <x:c r="C23" s="11" t="str">
        <x:v>Dixie camera glass</x:v>
      </x:c>
      <x:c r="D23" s="11" t="str">
        <x:v>70.75 × 27.24 × 0.7</x:v>
      </x:c>
      <x:c r="E23" s="11" t="str">
        <x:v>TBD</x:v>
      </x:c>
      <x:c r="F23" s="11" t="str">
        <x:v>mm</x:v>
      </x:c>
      <x:c r="G23" s="11" t="str">
        <x:v>Known</x:v>
      </x:c>
      <x:c r="H23" s="11" t="str">
        <x:v>Dixie BOM</x:v>
      </x:c>
      <x:c r="I23" s="11" t="str">
        <x:v>Other Parts, CAMERA BARREL GLASS</x:v>
      </x:c>
      <x:c r="J23" s="11" t="str">
        <x:v>Optical window dimensions cannot be scaled because lens FOV, sensor and ray clearance change.</x:v>
      </x:c>
      <x:c r="K23" s="11" t="str">
        <x:v>High</x:v>
      </x:c>
      <x:c r="L23" s="11" t="str">
        <x:v>Yes</x:v>
      </x:c>
      <x:c r="M23" s="11" t="str">
        <x:v>Do not scale</x:v>
      </x:c>
      <x:c r="N23" s="11" t="str"/>
      <x:c r="O23" s="11" t="str">
        <x:v>Pass</x:v>
      </x:c>
    </x:row>
    <x:row r="24" ht="56" customHeight="1">
      <x:c r="A24" s="15" t="str">
        <x:v>MP-020</x:v>
      </x:c>
      <x:c r="B24" s="11" t="str">
        <x:v>Camera</x:v>
      </x:c>
      <x:c r="C24" s="11" t="str">
        <x:v>Camera output</x:v>
      </x:c>
      <x:c r="D24" s="11" t="str">
        <x:v>Integrated camera; Dixie output not confirmed in supplied files</x:v>
      </x:c>
      <x:c r="E24" s="11" t="str">
        <x:v>Integrated 4K camera</x:v>
      </x:c>
      <x:c r="F24" s="11" t="str">
        <x:v>—</x:v>
      </x:c>
      <x:c r="G24" s="11" t="str">
        <x:v>Known</x:v>
      </x:c>
      <x:c r="H24" s="11" t="str">
        <x:v>User request</x:v>
      </x:c>
      <x:c r="I24" s="11" t="str">
        <x:v>Prompt</x:v>
      </x:c>
      <x:c r="J24" s="11" t="str">
        <x:v>Direct Hinoki requirement.</x:v>
      </x:c>
      <x:c r="K24" s="11" t="str">
        <x:v>High</x:v>
      </x:c>
      <x:c r="L24" s="11" t="str">
        <x:v>Yes</x:v>
      </x:c>
      <x:c r="M24" s="11" t="str">
        <x:v>Direct requirement</x:v>
      </x:c>
      <x:c r="N24" s="11" t="str"/>
      <x:c r="O24" s="11" t="str">
        <x:v>Pass</x:v>
      </x:c>
    </x:row>
    <x:row r="25" ht="56" customHeight="1">
      <x:c r="A25" s="15" t="str">
        <x:v>MP-021</x:v>
      </x:c>
      <x:c r="B25" s="11" t="str">
        <x:v>Camera</x:v>
      </x:c>
      <x:c r="C25" s="11" t="str">
        <x:v>Image sensor</x:v>
      </x:c>
      <x:c r="D25" s="11" t="str">
        <x:v>IMX283</x:v>
      </x:c>
      <x:c r="E25" s="11" t="str">
        <x:v>TBD</x:v>
      </x:c>
      <x:c r="F25" s="11" t="str">
        <x:v>—</x:v>
      </x:c>
      <x:c r="G25" s="11" t="str">
        <x:v>TBD</x:v>
      </x:c>
      <x:c r="H25" s="11" t="str">
        <x:v>Dixie and Hinoki table.xlsx</x:v>
      </x:c>
      <x:c r="I25" s="11" t="str">
        <x:v>Sheet1 row 3</x:v>
      </x:c>
      <x:c r="J25" s="11" t="str">
        <x:v>Do not inherit sensor until performance, availability, module size, power and thermal data are confirmed.</x:v>
      </x:c>
      <x:c r="K25" s="11" t="str">
        <x:v>High for Dixie; open for Hinoki.</x:v>
      </x:c>
      <x:c r="L25" s="11" t="str">
        <x:v>Yes</x:v>
      </x:c>
      <x:c r="M25" s="11" t="str">
        <x:v>Do not scale</x:v>
      </x:c>
      <x:c r="N25" s="11" t="str"/>
      <x:c r="O25" s="11" t="str">
        <x:v>Pass</x:v>
      </x:c>
    </x:row>
    <x:row r="26" ht="56" customHeight="1">
      <x:c r="A26" s="15" t="str">
        <x:v>MP-022</x:v>
      </x:c>
      <x:c r="B26" s="11" t="str">
        <x:v>Camera</x:v>
      </x:c>
      <x:c r="C26" s="11" t="str">
        <x:v>Horizontal field of view</x:v>
      </x:c>
      <x:c r="D26" s="11" t="str">
        <x:v>110</x:v>
      </x:c>
      <x:c r="E26" s="11" t="str">
        <x:v>134–140</x:v>
      </x:c>
      <x:c r="F26" s="11" t="str">
        <x:v>deg</x:v>
      </x:c>
      <x:c r="G26" s="11" t="str">
        <x:v>Known</x:v>
      </x:c>
      <x:c r="H26" s="11" t="str">
        <x:v>Dixie and Hinoki table.xlsx; User request</x:v>
      </x:c>
      <x:c r="I26" s="11" t="str">
        <x:v>Sheet1 row 3; prompt</x:v>
      </x:c>
      <x:c r="J26" s="11" t="str">
        <x:v>Direct Hinoki optical requirement; higher FOV changes lens, window and privacy-shutter clearance.</x:v>
      </x:c>
      <x:c r="K26" s="11" t="str">
        <x:v>High</x:v>
      </x:c>
      <x:c r="L26" s="11" t="str">
        <x:v>Yes</x:v>
      </x:c>
      <x:c r="M26" s="11" t="str">
        <x:v>Do not scale</x:v>
      </x:c>
      <x:c r="N26" s="11" t="str"/>
      <x:c r="O26" s="11" t="str">
        <x:v>Pass</x:v>
      </x:c>
    </x:row>
    <x:row r="27" ht="56" customHeight="1">
      <x:c r="A27" s="15" t="str">
        <x:v>MP-023</x:v>
      </x:c>
      <x:c r="B27" s="11" t="str">
        <x:v>Camera</x:v>
      </x:c>
      <x:c r="C27" s="11" t="str">
        <x:v>Camera position</x:v>
      </x:c>
      <x:c r="D27" s="11" t="str">
        <x:v>Integrated barrel architecture</x:v>
      </x:c>
      <x:c r="E27" s="11" t="str">
        <x:v>Top-center integrated position</x:v>
      </x:c>
      <x:c r="F27" s="11" t="str">
        <x:v>—</x:v>
      </x:c>
      <x:c r="G27" s="11" t="str">
        <x:v>Assumed</x:v>
      </x:c>
      <x:c r="H27" s="11" t="str">
        <x:v>Hinoki Assumption Log</x:v>
      </x:c>
      <x:c r="I27" s="11" t="str">
        <x:v>A-003</x:v>
      </x:c>
      <x:c r="J27" s="11" t="str">
        <x:v>Top-center supports symmetric framing and front-light layout; verify industrial-design choice.</x:v>
      </x:c>
      <x:c r="K27" s="11" t="str">
        <x:v>Medium</x:v>
      </x:c>
      <x:c r="L27" s="11" t="str">
        <x:v>Yes</x:v>
      </x:c>
      <x:c r="M27" s="11" t="str">
        <x:v>Do not scale</x:v>
      </x:c>
      <x:c r="N27" s="11" t="str">
        <x:v>A-003</x:v>
      </x:c>
      <x:c r="O27" s="11" t="str">
        <x:v>Pass</x:v>
      </x:c>
    </x:row>
    <x:row r="28" ht="56" customHeight="1">
      <x:c r="A28" s="15" t="str">
        <x:v>MP-024</x:v>
      </x:c>
      <x:c r="B28" s="11" t="str">
        <x:v>Camera</x:v>
      </x:c>
      <x:c r="C28" s="11" t="str">
        <x:v>Privacy shutter actuation</x:v>
      </x:c>
      <x:c r="D28" s="11" t="str">
        <x:v>Automatic rotating</x:v>
      </x:c>
      <x:c r="E28" s="11" t="str">
        <x:v>Manual</x:v>
      </x:c>
      <x:c r="F28" s="11" t="str">
        <x:v>—</x:v>
      </x:c>
      <x:c r="G28" s="11" t="str">
        <x:v>Known</x:v>
      </x:c>
      <x:c r="H28" s="11" t="str">
        <x:v>Dixie and Hinoki table.xlsx; User request</x:v>
      </x:c>
      <x:c r="I28" s="11" t="str">
        <x:v>Sheet1 row 4; prompt</x:v>
      </x:c>
      <x:c r="J28" s="11" t="str">
        <x:v>Direct requirement.</x:v>
      </x:c>
      <x:c r="K28" s="11" t="str">
        <x:v>High</x:v>
      </x:c>
      <x:c r="L28" s="11" t="str">
        <x:v>Yes</x:v>
      </x:c>
      <x:c r="M28" s="11" t="str">
        <x:v>Do not scale</x:v>
      </x:c>
      <x:c r="N28" s="11" t="str"/>
      <x:c r="O28" s="11" t="str">
        <x:v>Pass</x:v>
      </x:c>
    </x:row>
    <x:row r="29" ht="56" customHeight="1">
      <x:c r="A29" s="15" t="str">
        <x:v>MP-025</x:v>
      </x:c>
      <x:c r="B29" s="11" t="str">
        <x:v>Camera</x:v>
      </x:c>
      <x:c r="C29" s="11" t="str">
        <x:v>Privacy shutter retention</x:v>
      </x:c>
      <x:c r="D29" s="11" t="str">
        <x:v>Rotating mechanism; retention not established</x:v>
      </x:c>
      <x:c r="E29" s="11" t="str">
        <x:v>Non-removable captive shutter</x:v>
      </x:c>
      <x:c r="F29" s="11" t="str">
        <x:v>—</x:v>
      </x:c>
      <x:c r="G29" s="11" t="str">
        <x:v>Known</x:v>
      </x:c>
      <x:c r="H29" s="11" t="str">
        <x:v>User request</x:v>
      </x:c>
      <x:c r="I29" s="11" t="str">
        <x:v>Prompt</x:v>
      </x:c>
      <x:c r="J29" s="11" t="str">
        <x:v>Direct requirement; include end stops and captive retention features.</x:v>
      </x:c>
      <x:c r="K29" s="11" t="str">
        <x:v>High</x:v>
      </x:c>
      <x:c r="L29" s="11" t="str">
        <x:v>Yes</x:v>
      </x:c>
      <x:c r="M29" s="11" t="str">
        <x:v>Do not scale</x:v>
      </x:c>
      <x:c r="N29" s="11" t="str"/>
      <x:c r="O29" s="11" t="str">
        <x:v>Pass</x:v>
      </x:c>
    </x:row>
    <x:row r="30" ht="56" customHeight="1">
      <x:c r="A30" s="15" t="str">
        <x:v>MP-026</x:v>
      </x:c>
      <x:c r="B30" s="11" t="str">
        <x:v>Camera</x:v>
      </x:c>
      <x:c r="C30" s="11" t="str">
        <x:v>Shutter clear aperture / travel</x:v>
      </x:c>
      <x:c r="D30" s="11" t="str">
        <x:v>TBD</x:v>
      </x:c>
      <x:c r="E30" s="11" t="str">
        <x:v>TBD after lens ray bundle and tolerance stack</x:v>
      </x:c>
      <x:c r="F30" s="11" t="str">
        <x:v>mm</x:v>
      </x:c>
      <x:c r="G30" s="11" t="str">
        <x:v>TBD</x:v>
      </x:c>
      <x:c r="H30" s="11" t="str">
        <x:v>Required derivation</x:v>
      </x:c>
      <x:c r="I30" s="11" t="str">
        <x:v>Camera optical stack</x:v>
      </x:c>
      <x:c r="J30" s="11" t="str">
        <x:v>No dimension supplied; must be set from 140° FOV worst case, cover-glass spacing and tolerance stack.</x:v>
      </x:c>
      <x:c r="K30" s="11" t="str">
        <x:v>Open</x:v>
      </x:c>
      <x:c r="L30" s="11" t="str">
        <x:v>Yes</x:v>
      </x:c>
      <x:c r="M30" s="11" t="str">
        <x:v>Re-derive</x:v>
      </x:c>
      <x:c r="N30" s="11" t="str"/>
      <x:c r="O30" s="11" t="str">
        <x:v>Pass</x:v>
      </x:c>
    </x:row>
    <x:row r="31" ht="56" customHeight="1">
      <x:c r="A31" s="15" t="str">
        <x:v>MP-027</x:v>
      </x:c>
      <x:c r="B31" s="11" t="str">
        <x:v>Compute</x:v>
      </x:c>
      <x:c r="C31" s="11" t="str">
        <x:v>System-on-module</x:v>
      </x:c>
      <x:c r="D31" s="11" t="str">
        <x:v>QC8550 TC SOM</x:v>
      </x:c>
      <x:c r="E31" s="11" t="str">
        <x:v>QC7790 SOM</x:v>
      </x:c>
      <x:c r="F31" s="11" t="str">
        <x:v>—</x:v>
      </x:c>
      <x:c r="G31" s="11" t="str">
        <x:v>Known</x:v>
      </x:c>
      <x:c r="H31" s="11" t="str">
        <x:v>Dixie and Hinoki table.xlsx; User request</x:v>
      </x:c>
      <x:c r="I31" s="11" t="str">
        <x:v>Sheet1 row 2; prompt</x:v>
      </x:c>
      <x:c r="J31" s="11" t="str">
        <x:v>Direct platform requirement.</x:v>
      </x:c>
      <x:c r="K31" s="11" t="str">
        <x:v>High</x:v>
      </x:c>
      <x:c r="L31" s="11" t="str">
        <x:v>Yes</x:v>
      </x:c>
      <x:c r="M31" s="11" t="str">
        <x:v>Do not scale</x:v>
      </x:c>
      <x:c r="N31" s="11" t="str"/>
      <x:c r="O31" s="11" t="str">
        <x:v>Pass</x:v>
      </x:c>
    </x:row>
    <x:row r="32" ht="56" customHeight="1">
      <x:c r="A32" s="15" t="str">
        <x:v>MP-028</x:v>
      </x:c>
      <x:c r="B32" s="11" t="str">
        <x:v>Compute</x:v>
      </x:c>
      <x:c r="C32" s="11" t="str">
        <x:v>System memory</x:v>
      </x:c>
      <x:c r="D32" s="11" t="str">
        <x:v>12 GB LPDDR5X</x:v>
      </x:c>
      <x:c r="E32" s="11" t="str">
        <x:v>TBD</x:v>
      </x:c>
      <x:c r="F32" s="11" t="str">
        <x:v>GB</x:v>
      </x:c>
      <x:c r="G32" s="11" t="str">
        <x:v>TBD</x:v>
      </x:c>
      <x:c r="H32" s="11" t="str">
        <x:v>Dixie and Hinoki table.xlsx</x:v>
      </x:c>
      <x:c r="I32" s="11" t="str">
        <x:v>Sheet1 row 2</x:v>
      </x:c>
      <x:c r="J32" s="11" t="str">
        <x:v>Hinoki memory capacity must follow platform/Teams workload and SOM SKU.</x:v>
      </x:c>
      <x:c r="K32" s="11" t="str">
        <x:v>High for Dixie</x:v>
      </x:c>
      <x:c r="L32" s="11" t="str">
        <x:v>No</x:v>
      </x:c>
      <x:c r="M32" s="11" t="str">
        <x:v>Do not scale</x:v>
      </x:c>
      <x:c r="N32" s="11" t="str"/>
      <x:c r="O32" s="11" t="str">
        <x:v>Pass</x:v>
      </x:c>
    </x:row>
    <x:row r="33" ht="56" customHeight="1">
      <x:c r="A33" s="15" t="str">
        <x:v>MP-029</x:v>
      </x:c>
      <x:c r="B33" s="11" t="str">
        <x:v>Audio</x:v>
      </x:c>
      <x:c r="C33" s="11" t="str">
        <x:v>Microphone count</x:v>
      </x:c>
      <x:c r="D33" s="11" t="str">
        <x:v>6 front + 2 rear</x:v>
      </x:c>
      <x:c r="E33" s="11" t="str">
        <x:v>TBD</x:v>
      </x:c>
      <x:c r="F33" s="11" t="str">
        <x:v>count</x:v>
      </x:c>
      <x:c r="G33" s="11" t="str">
        <x:v>TBD</x:v>
      </x:c>
      <x:c r="H33" s="11" t="str">
        <x:v>Dixie and Hinoki table.xlsx</x:v>
      </x:c>
      <x:c r="I33" s="11" t="str">
        <x:v>Sheet1 row 6</x:v>
      </x:c>
      <x:c r="J33" s="11" t="str">
        <x:v>Desktop acoustic geometry and pickup range require a new array design.</x:v>
      </x:c>
      <x:c r="K33" s="11" t="str">
        <x:v>High for Dixie</x:v>
      </x:c>
      <x:c r="L33" s="11" t="str">
        <x:v>Yes</x:v>
      </x:c>
      <x:c r="M33" s="11" t="str">
        <x:v>Do not scale</x:v>
      </x:c>
      <x:c r="N33" s="11" t="str"/>
      <x:c r="O33" s="11" t="str">
        <x:v>Pass</x:v>
      </x:c>
    </x:row>
    <x:row r="34" ht="56" customHeight="1">
      <x:c r="A34" s="15" t="str">
        <x:v>MP-030</x:v>
      </x:c>
      <x:c r="B34" s="11" t="str">
        <x:v>Audio</x:v>
      </x:c>
      <x:c r="C34" s="11" t="str">
        <x:v>Dixie microphone mechanical interfaces</x:v>
      </x:c>
      <x:c r="D34" s="11" t="str">
        <x:v>6 mic tube rubbers; 13 screw rubbers</x:v>
      </x:c>
      <x:c r="E34" s="11" t="str">
        <x:v>TBD</x:v>
      </x:c>
      <x:c r="F34" s="11" t="str">
        <x:v>count</x:v>
      </x:c>
      <x:c r="G34" s="11" t="str">
        <x:v>Known</x:v>
      </x:c>
      <x:c r="H34" s="11" t="str">
        <x:v>Dixie BOM</x:v>
      </x:c>
      <x:c r="I34" s="11" t="str">
        <x:v>Plastic Parts List, MIC TUBE RUBBER / MIC SCREW RUBBER</x:v>
      </x:c>
      <x:c r="J34" s="11" t="str">
        <x:v>Reference isolation and sealing philosophy; quantities do not transfer.</x:v>
      </x:c>
      <x:c r="K34" s="11" t="str">
        <x:v>High</x:v>
      </x:c>
      <x:c r="L34" s="11" t="str">
        <x:v>No</x:v>
      </x:c>
      <x:c r="M34" s="11" t="str">
        <x:v>Do not scale</x:v>
      </x:c>
      <x:c r="N34" s="11" t="str"/>
      <x:c r="O34" s="11" t="str">
        <x:v>Pass</x:v>
      </x:c>
    </x:row>
    <x:row r="35" ht="56" customHeight="1">
      <x:c r="A35" s="15" t="str">
        <x:v>MP-031</x:v>
      </x:c>
      <x:c r="B35" s="11" t="str">
        <x:v>Audio</x:v>
      </x:c>
      <x:c r="C35" s="11" t="str">
        <x:v>Speaker configuration</x:v>
      </x:c>
      <x:c r="D35" s="11" t="str">
        <x:v>2 × 70 mm + 2 × 31 mm</x:v>
      </x:c>
      <x:c r="E35" s="11" t="str">
        <x:v>Integrated speakers; count / size / power TBD</x:v>
      </x:c>
      <x:c r="F35" s="11" t="str">
        <x:v>—</x:v>
      </x:c>
      <x:c r="G35" s="11" t="str">
        <x:v>TBD</x:v>
      </x:c>
      <x:c r="H35" s="11" t="str">
        <x:v>Dixie and Hinoki table.xlsx</x:v>
      </x:c>
      <x:c r="I35" s="11" t="str">
        <x:v>Sheet1 row 6</x:v>
      </x:c>
      <x:c r="J35" s="11" t="str">
        <x:v>Desktop listening distance and smaller cavity require acoustic re-optimization.</x:v>
      </x:c>
      <x:c r="K35" s="11" t="str">
        <x:v>High for Dixie</x:v>
      </x:c>
      <x:c r="L35" s="11" t="str">
        <x:v>Yes</x:v>
      </x:c>
      <x:c r="M35" s="11" t="str">
        <x:v>Do not scale</x:v>
      </x:c>
      <x:c r="N35" s="11" t="str"/>
      <x:c r="O35" s="11" t="str">
        <x:v>Pass</x:v>
      </x:c>
    </x:row>
    <x:row r="36" ht="56" customHeight="1">
      <x:c r="A36" s="15" t="str">
        <x:v>MP-032</x:v>
      </x:c>
      <x:c r="B36" s="11" t="str">
        <x:v>Audio</x:v>
      </x:c>
      <x:c r="C36" s="11" t="str">
        <x:v>Front acoustic fabric architecture</x:v>
      </x:c>
      <x:c r="D36" s="11" t="str">
        <x:v>1460 × 110 × 13.6 fabric cover; recycled polyester</x:v>
      </x:c>
      <x:c r="E36" s="11" t="str">
        <x:v>Integrated front acoustic treatment TBD</x:v>
      </x:c>
      <x:c r="F36" s="11" t="str">
        <x:v>mm</x:v>
      </x:c>
      <x:c r="G36" s="11" t="str">
        <x:v>Derived</x:v>
      </x:c>
      <x:c r="H36" s="11" t="str">
        <x:v>Dixie BOM</x:v>
      </x:c>
      <x:c r="I36" s="11" t="str">
        <x:v>Plastic Parts List, FABRIC COVER</x:v>
      </x:c>
      <x:c r="J36" s="11" t="str">
        <x:v>Preserve fabric/acoustic transparency and recycled-material intent, not dimensions.</x:v>
      </x:c>
      <x:c r="K36" s="11" t="str">
        <x:v>Medium</x:v>
      </x:c>
      <x:c r="L36" s="11" t="str">
        <x:v>Yes</x:v>
      </x:c>
      <x:c r="M36" s="11" t="str">
        <x:v>Preserve intent</x:v>
      </x:c>
      <x:c r="N36" s="11" t="str"/>
      <x:c r="O36" s="11" t="str">
        <x:v>Pass</x:v>
      </x:c>
    </x:row>
    <x:row r="37" ht="56" customHeight="1">
      <x:c r="A37" s="15" t="str">
        <x:v>MP-033</x:v>
      </x:c>
      <x:c r="B37" s="11" t="str">
        <x:v>Interface</x:v>
      </x:c>
      <x:c r="C37" s="11" t="str">
        <x:v>HDMI input</x:v>
      </x:c>
      <x:c r="D37" s="11" t="str">
        <x:v>1 × HDMI in plus 1 × HDMI out</x:v>
      </x:c>
      <x:c r="E37" s="11" t="str">
        <x:v>1 × HDMI input</x:v>
      </x:c>
      <x:c r="F37" s="11" t="str">
        <x:v>count</x:v>
      </x:c>
      <x:c r="G37" s="11" t="str">
        <x:v>Known</x:v>
      </x:c>
      <x:c r="H37" s="11" t="str">
        <x:v>Dixie and Hinoki table.xlsx; User request</x:v>
      </x:c>
      <x:c r="I37" s="11" t="str">
        <x:v>Sheet1 row 7; prompt</x:v>
      </x:c>
      <x:c r="J37" s="11" t="str">
        <x:v>Hinoki does not inherit Dixie HDMI output unless separately required.</x:v>
      </x:c>
      <x:c r="K37" s="11" t="str">
        <x:v>High</x:v>
      </x:c>
      <x:c r="L37" s="11" t="str">
        <x:v>Yes</x:v>
      </x:c>
      <x:c r="M37" s="11" t="str">
        <x:v>Do not scale</x:v>
      </x:c>
      <x:c r="N37" s="11" t="str"/>
      <x:c r="O37" s="11" t="str">
        <x:v>Pass</x:v>
      </x:c>
    </x:row>
    <x:row r="38" ht="56" customHeight="1">
      <x:c r="A38" s="15" t="str">
        <x:v>MP-034</x:v>
      </x:c>
      <x:c r="B38" s="11" t="str">
        <x:v>Interface</x:v>
      </x:c>
      <x:c r="C38" s="11" t="str">
        <x:v>USB-A</x:v>
      </x:c>
      <x:c r="D38" s="11" t="str">
        <x:v>3 × USB 3.1</x:v>
      </x:c>
      <x:c r="E38" s="11" t="str">
        <x:v>2 × USB-A</x:v>
      </x:c>
      <x:c r="F38" s="11" t="str">
        <x:v>count</x:v>
      </x:c>
      <x:c r="G38" s="11" t="str">
        <x:v>Known</x:v>
      </x:c>
      <x:c r="H38" s="11" t="str">
        <x:v>Dixie and Hinoki table.xlsx; User request</x:v>
      </x:c>
      <x:c r="I38" s="11" t="str">
        <x:v>Sheet1 row 7; prompt</x:v>
      </x:c>
      <x:c r="J38" s="11" t="str">
        <x:v>Direct requirement; exact generation/current TBD.</x:v>
      </x:c>
      <x:c r="K38" s="11" t="str">
        <x:v>High</x:v>
      </x:c>
      <x:c r="L38" s="11" t="str">
        <x:v>Yes</x:v>
      </x:c>
      <x:c r="M38" s="11" t="str">
        <x:v>Do not scale</x:v>
      </x:c>
      <x:c r="N38" s="11" t="str"/>
      <x:c r="O38" s="11" t="str">
        <x:v>Pass</x:v>
      </x:c>
    </x:row>
    <x:row r="39" ht="56" customHeight="1">
      <x:c r="A39" s="15" t="str">
        <x:v>MP-035</x:v>
      </x:c>
      <x:c r="B39" s="11" t="str">
        <x:v>Interface</x:v>
      </x:c>
      <x:c r="C39" s="11" t="str">
        <x:v>USB-C BYOD</x:v>
      </x:c>
      <x:c r="D39" s="11" t="str">
        <x:v>1 × USB 3.1 + DP Alt Mode</x:v>
      </x:c>
      <x:c r="E39" s="11" t="str">
        <x:v>1 × USB-C BYOD with display/data and PD</x:v>
      </x:c>
      <x:c r="F39" s="11" t="str">
        <x:v>count</x:v>
      </x:c>
      <x:c r="G39" s="11" t="str">
        <x:v>Known</x:v>
      </x:c>
      <x:c r="H39" s="11" t="str">
        <x:v>Dixie and Hinoki table.xlsx; User request</x:v>
      </x:c>
      <x:c r="I39" s="11" t="str">
        <x:v>Sheet1 row 7; prompt</x:v>
      </x:c>
      <x:c r="J39" s="11" t="str">
        <x:v>Direct requirement; USB generation and DP mode need electrical PRD.</x:v>
      </x:c>
      <x:c r="K39" s="11" t="str">
        <x:v>High</x:v>
      </x:c>
      <x:c r="L39" s="11" t="str">
        <x:v>Yes</x:v>
      </x:c>
      <x:c r="M39" s="11" t="str">
        <x:v>Do not scale</x:v>
      </x:c>
      <x:c r="N39" s="11" t="str"/>
      <x:c r="O39" s="11" t="str">
        <x:v>Pass</x:v>
      </x:c>
    </x:row>
    <x:row r="40" ht="56" customHeight="1">
      <x:c r="A40" s="15" t="str">
        <x:v>MP-036</x:v>
      </x:c>
      <x:c r="B40" s="11" t="str">
        <x:v>Interface</x:v>
      </x:c>
      <x:c r="C40" s="11" t="str">
        <x:v>USB-C laptop charging delivered power</x:v>
      </x:c>
      <x:c r="D40" s="11" t="str">
        <x:v>TBD</x:v>
      </x:c>
      <x:c r="E40" s="11" t="str">
        <x:v>≥90</x:v>
      </x:c>
      <x:c r="F40" s="11" t="str">
        <x:v>W delivered to laptop</x:v>
      </x:c>
      <x:c r="G40" s="11" t="str">
        <x:v>Known</x:v>
      </x:c>
      <x:c r="H40" s="11" t="str">
        <x:v>User request</x:v>
      </x:c>
      <x:c r="I40" s="11" t="str">
        <x:v>Prompt</x:v>
      </x:c>
      <x:c r="J40" s="11" t="str">
        <x:v>Keep this external delivered power separate from product internal dissipation.</x:v>
      </x:c>
      <x:c r="K40" s="11" t="str">
        <x:v>High</x:v>
      </x:c>
      <x:c r="L40" s="11" t="str">
        <x:v>No</x:v>
      </x:c>
      <x:c r="M40" s="11" t="str">
        <x:v>Direct requirement</x:v>
      </x:c>
      <x:c r="N40" s="11" t="str"/>
      <x:c r="O40" s="11" t="str">
        <x:v>Pass</x:v>
      </x:c>
    </x:row>
    <x:row r="41" ht="56" customHeight="1">
      <x:c r="A41" s="15" t="str">
        <x:v>MP-037</x:v>
      </x:c>
      <x:c r="B41" s="11" t="str">
        <x:v>Interface</x:v>
      </x:c>
      <x:c r="C41" s="11" t="str">
        <x:v>Ethernet</x:v>
      </x:c>
      <x:c r="D41" s="11" t="str">
        <x:v>Present</x:v>
      </x:c>
      <x:c r="E41" s="11" t="str">
        <x:v>Present</x:v>
      </x:c>
      <x:c r="F41" s="11" t="str">
        <x:v>port</x:v>
      </x:c>
      <x:c r="G41" s="11" t="str">
        <x:v>Known</x:v>
      </x:c>
      <x:c r="H41" s="11" t="str">
        <x:v>Dixie and Hinoki table.xlsx; User request</x:v>
      </x:c>
      <x:c r="I41" s="11" t="str">
        <x:v>Sheet1 row 7; prompt</x:v>
      </x:c>
      <x:c r="J41" s="11" t="str">
        <x:v>Direct requirement; speed/PoE capability TBD.</x:v>
      </x:c>
      <x:c r="K41" s="11" t="str">
        <x:v>High</x:v>
      </x:c>
      <x:c r="L41" s="11" t="str">
        <x:v>Yes</x:v>
      </x:c>
      <x:c r="M41" s="11" t="str">
        <x:v>Do not scale</x:v>
      </x:c>
      <x:c r="N41" s="11" t="str"/>
      <x:c r="O41" s="11" t="str">
        <x:v>Pass</x:v>
      </x:c>
    </x:row>
    <x:row r="42" ht="56" customHeight="1">
      <x:c r="A42" s="15" t="str">
        <x:v>MP-038</x:v>
      </x:c>
      <x:c r="B42" s="11" t="str">
        <x:v>Interface</x:v>
      </x:c>
      <x:c r="C42" s="11" t="str">
        <x:v>3.5 mm audio output</x:v>
      </x:c>
      <x:c r="D42" s="11" t="str">
        <x:v>Present</x:v>
      </x:c>
      <x:c r="E42" s="11" t="str">
        <x:v>Present</x:v>
      </x:c>
      <x:c r="F42" s="11" t="str">
        <x:v>port</x:v>
      </x:c>
      <x:c r="G42" s="11" t="str">
        <x:v>Known</x:v>
      </x:c>
      <x:c r="H42" s="11" t="str">
        <x:v>Dixie and Hinoki table.xlsx; User request</x:v>
      </x:c>
      <x:c r="I42" s="11" t="str">
        <x:v>Sheet1 row 7; prompt</x:v>
      </x:c>
      <x:c r="J42" s="11" t="str">
        <x:v>Direct requirement.</x:v>
      </x:c>
      <x:c r="K42" s="11" t="str">
        <x:v>High</x:v>
      </x:c>
      <x:c r="L42" s="11" t="str">
        <x:v>Yes</x:v>
      </x:c>
      <x:c r="M42" s="11" t="str">
        <x:v>Do not scale</x:v>
      </x:c>
      <x:c r="N42" s="11" t="str"/>
      <x:c r="O42" s="11" t="str">
        <x:v>Pass</x:v>
      </x:c>
    </x:row>
    <x:row r="43" ht="56" customHeight="1">
      <x:c r="A43" s="15" t="str">
        <x:v>MP-039</x:v>
      </x:c>
      <x:c r="B43" s="11" t="str">
        <x:v>Interface</x:v>
      </x:c>
      <x:c r="C43" s="11" t="str">
        <x:v>Serviceability / cable management</x:v>
      </x:c>
      <x:c r="D43" s="11" t="str">
        <x:v>Rear I/O service hatch, cable cover, interface rail and cable-management parts</x:v>
      </x:c>
      <x:c r="E43" s="11" t="str">
        <x:v>Serviceable I/O and managed BYOD cable path</x:v>
      </x:c>
      <x:c r="F43" s="11" t="str">
        <x:v>—</x:v>
      </x:c>
      <x:c r="G43" s="11" t="str">
        <x:v>Derived</x:v>
      </x:c>
      <x:c r="H43" s="11" t="str">
        <x:v>Dixie BOM; relevant AVTC drawings</x:v>
      </x:c>
      <x:c r="I43" s="11" t="str">
        <x:v>Plastic/Metal Parts Lists; service-hatch, cable-cover, interface-rail features</x:v>
      </x:c>
      <x:c r="J43" s="11" t="str">
        <x:v>Preserve Dixie service-access philosophy; re-package to desktop reach zones.</x:v>
      </x:c>
      <x:c r="K43" s="11" t="str">
        <x:v>Medium</x:v>
      </x:c>
      <x:c r="L43" s="11" t="str">
        <x:v>Yes</x:v>
      </x:c>
      <x:c r="M43" s="11" t="str">
        <x:v>Preserve architecture</x:v>
      </x:c>
      <x:c r="N43" s="11" t="str"/>
      <x:c r="O43" s="11" t="str">
        <x:v>Pass</x:v>
      </x:c>
    </x:row>
    <x:row r="44" ht="56" customHeight="1">
      <x:c r="A44" s="15" t="str">
        <x:v>MP-040</x:v>
      </x:c>
      <x:c r="B44" s="11" t="str">
        <x:v>Connectivity</x:v>
      </x:c>
      <x:c r="C44" s="11" t="str">
        <x:v>Wi-Fi</x:v>
      </x:c>
      <x:c r="D44" s="11" t="str">
        <x:v>Wi-Fi 6</x:v>
      </x:c>
      <x:c r="E44" s="11" t="str">
        <x:v>Wi-Fi 6</x:v>
      </x:c>
      <x:c r="F44" s="11" t="str">
        <x:v>—</x:v>
      </x:c>
      <x:c r="G44" s="11" t="str">
        <x:v>Known</x:v>
      </x:c>
      <x:c r="H44" s="11" t="str">
        <x:v>Dixie and Hinoki table.xlsx; User request</x:v>
      </x:c>
      <x:c r="I44" s="11" t="str">
        <x:v>Sheet1 row 8; prompt</x:v>
      </x:c>
      <x:c r="J44" s="11" t="str">
        <x:v>Direct requirement.</x:v>
      </x:c>
      <x:c r="K44" s="11" t="str">
        <x:v>High</x:v>
      </x:c>
      <x:c r="L44" s="11" t="str">
        <x:v>No</x:v>
      </x:c>
      <x:c r="M44" s="11" t="str">
        <x:v>Direct requirement</x:v>
      </x:c>
      <x:c r="N44" s="11" t="str"/>
      <x:c r="O44" s="11" t="str">
        <x:v>Pass</x:v>
      </x:c>
    </x:row>
    <x:row r="45" ht="56" customHeight="1">
      <x:c r="A45" s="15" t="str">
        <x:v>MP-041</x:v>
      </x:c>
      <x:c r="B45" s="11" t="str">
        <x:v>Connectivity</x:v>
      </x:c>
      <x:c r="C45" s="11" t="str">
        <x:v>Bluetooth Low Energy</x:v>
      </x:c>
      <x:c r="D45" s="11" t="str">
        <x:v>BLE</x:v>
      </x:c>
      <x:c r="E45" s="11" t="str">
        <x:v>BLE</x:v>
      </x:c>
      <x:c r="F45" s="11" t="str">
        <x:v>—</x:v>
      </x:c>
      <x:c r="G45" s="11" t="str">
        <x:v>Known</x:v>
      </x:c>
      <x:c r="H45" s="11" t="str">
        <x:v>Dixie and Hinoki table.xlsx; User request</x:v>
      </x:c>
      <x:c r="I45" s="11" t="str">
        <x:v>Sheet1 row 8; prompt</x:v>
      </x:c>
      <x:c r="J45" s="11" t="str">
        <x:v>Direct requirement; version TBD.</x:v>
      </x:c>
      <x:c r="K45" s="11" t="str">
        <x:v>High</x:v>
      </x:c>
      <x:c r="L45" s="11" t="str">
        <x:v>No</x:v>
      </x:c>
      <x:c r="M45" s="11" t="str">
        <x:v>Direct requirement</x:v>
      </x:c>
      <x:c r="N45" s="11" t="str"/>
      <x:c r="O45" s="11" t="str">
        <x:v>Pass</x:v>
      </x:c>
    </x:row>
    <x:row r="46" ht="56" customHeight="1">
      <x:c r="A46" s="15" t="str">
        <x:v>MP-042</x:v>
      </x:c>
      <x:c r="B46" s="11" t="str">
        <x:v>Sensor</x:v>
      </x:c>
      <x:c r="C46" s="11" t="str">
        <x:v>Radar presence detection</x:v>
      </x:c>
      <x:c r="D46" s="11" t="str">
        <x:v>Environmental radar; holder 59.8 × 18 × 16.3</x:v>
      </x:c>
      <x:c r="E46" s="11" t="str">
        <x:v>Radar presence detection</x:v>
      </x:c>
      <x:c r="F46" s="11" t="str">
        <x:v>—</x:v>
      </x:c>
      <x:c r="G46" s="11" t="str">
        <x:v>Known</x:v>
      </x:c>
      <x:c r="H46" s="11" t="str">
        <x:v>Dixie and Hinoki table.xlsx; Dixie BOM; User request</x:v>
      </x:c>
      <x:c r="I46" s="11" t="str">
        <x:v>Sheet1 row 9; Plastic Parts List Radar Holder; prompt</x:v>
      </x:c>
      <x:c r="J46" s="11" t="str">
        <x:v>Function is required, but module and field-of-view clearance need selection.</x:v>
      </x:c>
      <x:c r="K46" s="11" t="str">
        <x:v>High</x:v>
      </x:c>
      <x:c r="L46" s="11" t="str">
        <x:v>Yes</x:v>
      </x:c>
      <x:c r="M46" s="11" t="str">
        <x:v>Do not scale</x:v>
      </x:c>
      <x:c r="N46" s="11" t="str"/>
      <x:c r="O46" s="11" t="str">
        <x:v>Pass</x:v>
      </x:c>
    </x:row>
    <x:row r="47" ht="56" customHeight="1">
      <x:c r="A47" s="15" t="str">
        <x:v>MP-043</x:v>
      </x:c>
      <x:c r="B47" s="11" t="str">
        <x:v>Sensor</x:v>
      </x:c>
      <x:c r="C47" s="11" t="str">
        <x:v>Ambient-light sensor</x:v>
      </x:c>
      <x:c r="D47" s="11" t="str">
        <x:v>Present</x:v>
      </x:c>
      <x:c r="E47" s="11" t="str">
        <x:v>Include provision; final applicability TBD</x:v>
      </x:c>
      <x:c r="F47" s="11" t="str">
        <x:v>—</x:v>
      </x:c>
      <x:c r="G47" s="11" t="str">
        <x:v>TBD</x:v>
      </x:c>
      <x:c r="H47" s="11" t="str">
        <x:v>Dixie and Hinoki table.xlsx; User request</x:v>
      </x:c>
      <x:c r="I47" s="11" t="str">
        <x:v>Sheet1 row 9; prompt says if applicable</x:v>
      </x:c>
      <x:c r="J47" s="11" t="str">
        <x:v>Reserve optical/mechanical path until product decision.</x:v>
      </x:c>
      <x:c r="K47" s="11" t="str">
        <x:v>Medium</x:v>
      </x:c>
      <x:c r="L47" s="11" t="str">
        <x:v>Yes</x:v>
      </x:c>
      <x:c r="M47" s="11" t="str">
        <x:v>Do not scale</x:v>
      </x:c>
      <x:c r="N47" s="11" t="str"/>
      <x:c r="O47" s="11" t="str">
        <x:v>Pass</x:v>
      </x:c>
    </x:row>
    <x:row r="48" ht="56" customHeight="1">
      <x:c r="A48" s="15" t="str">
        <x:v>MP-044</x:v>
      </x:c>
      <x:c r="B48" s="11" t="str">
        <x:v>Sensor</x:v>
      </x:c>
      <x:c r="C48" s="11" t="str">
        <x:v>Sensor optical / RF keep-out</x:v>
      </x:c>
      <x:c r="D48" s="11" t="str">
        <x:v>TBD</x:v>
      </x:c>
      <x:c r="E48" s="11" t="str">
        <x:v>TBD by selected radar and ALS modules</x:v>
      </x:c>
      <x:c r="F48" s="11" t="str">
        <x:v>mm</x:v>
      </x:c>
      <x:c r="G48" s="11" t="str">
        <x:v>TBD</x:v>
      </x:c>
      <x:c r="H48" s="11" t="str">
        <x:v>Module datasheets required</x:v>
      </x:c>
      <x:c r="I48" s="11" t="str">
        <x:v>Sensor integration</x:v>
      </x:c>
      <x:c r="J48" s="11" t="str">
        <x:v>No keep-out dimensions supplied.</x:v>
      </x:c>
      <x:c r="K48" s="11" t="str">
        <x:v>Open</x:v>
      </x:c>
      <x:c r="L48" s="11" t="str">
        <x:v>Yes</x:v>
      </x:c>
      <x:c r="M48" s="11" t="str">
        <x:v>Re-derive</x:v>
      </x:c>
      <x:c r="N48" s="11" t="str"/>
      <x:c r="O48" s="11" t="str">
        <x:v>Pass</x:v>
      </x:c>
    </x:row>
    <x:row r="49" ht="56" customHeight="1">
      <x:c r="A49" s="15" t="str">
        <x:v>MP-045</x:v>
      </x:c>
      <x:c r="B49" s="11" t="str">
        <x:v>Lighting</x:v>
      </x:c>
      <x:c r="C49" s="11" t="str">
        <x:v>Front lighting</x:v>
      </x:c>
      <x:c r="D49" s="11" t="str">
        <x:v>None</x:v>
      </x:c>
      <x:c r="E49" s="11" t="str">
        <x:v>Integrated front lighting solution</x:v>
      </x:c>
      <x:c r="F49" s="11" t="str">
        <x:v>—</x:v>
      </x:c>
      <x:c r="G49" s="11" t="str">
        <x:v>Known</x:v>
      </x:c>
      <x:c r="H49" s="11" t="str">
        <x:v>Dixie and Hinoki table.xlsx; User request</x:v>
      </x:c>
      <x:c r="I49" s="11" t="str">
        <x:v>Sheet1 row 11; prompt</x:v>
      </x:c>
      <x:c r="J49" s="11" t="str">
        <x:v>Function is required; photometric target and architecture TBD.</x:v>
      </x:c>
      <x:c r="K49" s="11" t="str">
        <x:v>High</x:v>
      </x:c>
      <x:c r="L49" s="11" t="str">
        <x:v>Yes</x:v>
      </x:c>
      <x:c r="M49" s="11" t="str">
        <x:v>Do not scale</x:v>
      </x:c>
      <x:c r="N49" s="11" t="str"/>
      <x:c r="O49" s="11" t="str">
        <x:v>Pass</x:v>
      </x:c>
    </x:row>
    <x:row r="50" ht="56" customHeight="1">
      <x:c r="A50" s="15" t="str">
        <x:v>MP-046</x:v>
      </x:c>
      <x:c r="B50" s="11" t="str">
        <x:v>Lighting</x:v>
      </x:c>
      <x:c r="C50" s="11" t="str">
        <x:v>Front-light illuminance / CCT / CRI</x:v>
      </x:c>
      <x:c r="D50" s="11" t="str">
        <x:v>None</x:v>
      </x:c>
      <x:c r="E50" s="11" t="str">
        <x:v>TBD</x:v>
      </x:c>
      <x:c r="F50" s="11" t="str">
        <x:v>lux / K / CRI</x:v>
      </x:c>
      <x:c r="G50" s="11" t="str">
        <x:v>TBD</x:v>
      </x:c>
      <x:c r="H50" s="11" t="str">
        <x:v>Lighting requirements needed</x:v>
      </x:c>
      <x:c r="I50" s="11" t="str">
        <x:v>Front-light subsystem</x:v>
      </x:c>
      <x:c r="J50" s="11" t="str">
        <x:v>Cannot size optics, LEDs or thermal load until targets are defined.</x:v>
      </x:c>
      <x:c r="K50" s="11" t="str">
        <x:v>Open</x:v>
      </x:c>
      <x:c r="L50" s="11" t="str">
        <x:v>Yes</x:v>
      </x:c>
      <x:c r="M50" s="11" t="str">
        <x:v>Re-derive</x:v>
      </x:c>
      <x:c r="N50" s="11" t="str"/>
      <x:c r="O50" s="11" t="str">
        <x:v>Pass</x:v>
      </x:c>
    </x:row>
    <x:row r="51" ht="56" customHeight="1">
      <x:c r="A51" s="15" t="str">
        <x:v>MP-047</x:v>
      </x:c>
      <x:c r="B51" s="11" t="str">
        <x:v>Mounting</x:v>
      </x:c>
      <x:c r="C51" s="11" t="str">
        <x:v>VESA compatibility</x:v>
      </x:c>
      <x:c r="D51" s="11" t="str">
        <x:v>VESA adapter plate architecture; plate 120 × 120 × 7.8 with 4 × M4 threaded holes</x:v>
      </x:c>
      <x:c r="E51" s="11" t="str">
        <x:v>VESA compatible; hole pattern TBD</x:v>
      </x:c>
      <x:c r="F51" s="11" t="str">
        <x:v>mm</x:v>
      </x:c>
      <x:c r="G51" s="11" t="str">
        <x:v>TBD</x:v>
      </x:c>
      <x:c r="H51" s="11" t="str">
        <x:v>Dixie BOM; 171202002550_VESA ADAPTER PLATE.pdf; User request</x:v>
      </x:c>
      <x:c r="I51" s="11" t="str">
        <x:v>Metal Parts List item 21; prompt</x:v>
      </x:c>
      <x:c r="J51" s="11" t="str">
        <x:v>Plate outside dimensions do not prove hole pitch; choose Hinoki VESA pattern from mass/stand/market requirements.</x:v>
      </x:c>
      <x:c r="K51" s="11" t="str">
        <x:v>High for plate envelope; open for pitch.</x:v>
      </x:c>
      <x:c r="L51" s="11" t="str">
        <x:v>Yes</x:v>
      </x:c>
      <x:c r="M51" s="11" t="str">
        <x:v>Do not scale</x:v>
      </x:c>
      <x:c r="N51" s="11" t="str"/>
      <x:c r="O51" s="11" t="str">
        <x:v>Pass</x:v>
      </x:c>
    </x:row>
    <x:row r="52" ht="56" customHeight="1">
      <x:c r="A52" s="15" t="str">
        <x:v>MP-048</x:v>
      </x:c>
      <x:c r="B52" s="11" t="str">
        <x:v>Mounting</x:v>
      </x:c>
      <x:c r="C52" s="11" t="str">
        <x:v>Desktop stand</x:v>
      </x:c>
      <x:c r="D52" s="11" t="str">
        <x:v>Legs / cart / VESA</x:v>
      </x:c>
      <x:c r="E52" s="11" t="str">
        <x:v>Height- and tilt-adjustable desktop stand</x:v>
      </x:c>
      <x:c r="F52" s="11" t="str">
        <x:v>—</x:v>
      </x:c>
      <x:c r="G52" s="11" t="str">
        <x:v>Known</x:v>
      </x:c>
      <x:c r="H52" s="11" t="str">
        <x:v>Dixie and Hinoki table.xlsx; User request</x:v>
      </x:c>
      <x:c r="I52" s="11" t="str">
        <x:v>Sheet1 row 10; prompt</x:v>
      </x:c>
      <x:c r="J52" s="11" t="str">
        <x:v>Direct product requirement.</x:v>
      </x:c>
      <x:c r="K52" s="11" t="str">
        <x:v>High</x:v>
      </x:c>
      <x:c r="L52" s="11" t="str">
        <x:v>Yes</x:v>
      </x:c>
      <x:c r="M52" s="11" t="str">
        <x:v>Do not scale</x:v>
      </x:c>
      <x:c r="N52" s="11" t="str"/>
      <x:c r="O52" s="11" t="str">
        <x:v>Pass</x:v>
      </x:c>
    </x:row>
    <x:row r="53" ht="56" customHeight="1">
      <x:c r="A53" s="15" t="str">
        <x:v>MP-049</x:v>
      </x:c>
      <x:c r="B53" s="11" t="str">
        <x:v>Mounting</x:v>
      </x:c>
      <x:c r="C53" s="11" t="str">
        <x:v>Stand height adjustment range</x:v>
      </x:c>
      <x:c r="D53" s="11" t="str">
        <x:v>Not applicable / not supplied</x:v>
      </x:c>
      <x:c r="E53" s="11" t="str">
        <x:v>TBD</x:v>
      </x:c>
      <x:c r="F53" s="11" t="str">
        <x:v>mm</x:v>
      </x:c>
      <x:c r="G53" s="11" t="str">
        <x:v>TBD</x:v>
      </x:c>
      <x:c r="H53" s="11" t="str">
        <x:v>Ergonomic specification required</x:v>
      </x:c>
      <x:c r="I53" s="11" t="str">
        <x:v>Stand kinematics</x:v>
      </x:c>
      <x:c r="J53" s="11" t="str">
        <x:v>No range supplied; do not invent.</x:v>
      </x:c>
      <x:c r="K53" s="11" t="str">
        <x:v>Open</x:v>
      </x:c>
      <x:c r="L53" s="11" t="str">
        <x:v>Yes</x:v>
      </x:c>
      <x:c r="M53" s="11" t="str">
        <x:v>Re-derive</x:v>
      </x:c>
      <x:c r="N53" s="11" t="str"/>
      <x:c r="O53" s="11" t="str">
        <x:v>Pass</x:v>
      </x:c>
    </x:row>
    <x:row r="54" ht="56" customHeight="1">
      <x:c r="A54" s="15" t="str">
        <x:v>MP-050</x:v>
      </x:c>
      <x:c r="B54" s="11" t="str">
        <x:v>Mounting</x:v>
      </x:c>
      <x:c r="C54" s="11" t="str">
        <x:v>Stand tilt range</x:v>
      </x:c>
      <x:c r="D54" s="11" t="str">
        <x:v>Not applicable / not supplied</x:v>
      </x:c>
      <x:c r="E54" s="11" t="str">
        <x:v>TBD</x:v>
      </x:c>
      <x:c r="F54" s="11" t="str">
        <x:v>deg</x:v>
      </x:c>
      <x:c r="G54" s="11" t="str">
        <x:v>TBD</x:v>
      </x:c>
      <x:c r="H54" s="11" t="str">
        <x:v>Ergonomic specification required</x:v>
      </x:c>
      <x:c r="I54" s="11" t="str">
        <x:v>Stand kinematics</x:v>
      </x:c>
      <x:c r="J54" s="11" t="str">
        <x:v>No range supplied; do not invent.</x:v>
      </x:c>
      <x:c r="K54" s="11" t="str">
        <x:v>Open</x:v>
      </x:c>
      <x:c r="L54" s="11" t="str">
        <x:v>Yes</x:v>
      </x:c>
      <x:c r="M54" s="11" t="str">
        <x:v>Re-derive</x:v>
      </x:c>
      <x:c r="N54" s="11" t="str"/>
      <x:c r="O54" s="11" t="str">
        <x:v>Pass</x:v>
      </x:c>
    </x:row>
    <x:row r="55" ht="56" customHeight="1">
      <x:c r="A55" s="15" t="str">
        <x:v>MP-051</x:v>
      </x:c>
      <x:c r="B55" s="11" t="str">
        <x:v>Mounting</x:v>
      </x:c>
      <x:c r="C55" s="11" t="str">
        <x:v>Stand base footprint</x:v>
      </x:c>
      <x:c r="D55" s="11" t="str">
        <x:v>Not applicable / not supplied</x:v>
      </x:c>
      <x:c r="E55" s="11" t="str">
        <x:v>TBD</x:v>
      </x:c>
      <x:c r="F55" s="11" t="str">
        <x:v>mm</x:v>
      </x:c>
      <x:c r="G55" s="11" t="str">
        <x:v>TBD</x:v>
      </x:c>
      <x:c r="H55" s="11" t="str">
        <x:v>Packaging / tip-stability study required</x:v>
      </x:c>
      <x:c r="I55" s="11" t="str">
        <x:v>Stand base</x:v>
      </x:c>
      <x:c r="J55" s="11" t="str">
        <x:v>Must derive from center of gravity, tilt extremes and safety factor.</x:v>
      </x:c>
      <x:c r="K55" s="11" t="str">
        <x:v>Open</x:v>
      </x:c>
      <x:c r="L55" s="11" t="str">
        <x:v>Yes</x:v>
      </x:c>
      <x:c r="M55" s="11" t="str">
        <x:v>Re-derive</x:v>
      </x:c>
      <x:c r="N55" s="11" t="str"/>
      <x:c r="O55" s="11" t="str">
        <x:v>Pass</x:v>
      </x:c>
    </x:row>
    <x:row r="56" ht="56" customHeight="1">
      <x:c r="A56" s="15" t="str">
        <x:v>MP-052</x:v>
      </x:c>
      <x:c r="B56" s="11" t="str">
        <x:v>Thermal</x:v>
      </x:c>
      <x:c r="C56" s="11" t="str">
        <x:v>Primary compute thermal path</x:v>
      </x:c>
      <x:c r="D56" s="11" t="str">
        <x:v>QC8550 thermal gel to heatsink and chassis</x:v>
      </x:c>
      <x:c r="E56" s="11" t="str">
        <x:v>QC7790 to heat spreader / chassis concept; stack TBD</x:v>
      </x:c>
      <x:c r="F56" s="11" t="str">
        <x:v>—</x:v>
      </x:c>
      <x:c r="G56" s="11" t="str">
        <x:v>Assumed</x:v>
      </x:c>
      <x:c r="H56" s="11" t="str">
        <x:v>Dixie BOM; Hinoki Assumption Log</x:v>
      </x:c>
      <x:c r="I56" s="11" t="str">
        <x:v>Other Parts, THERMAL GEL; A-004</x:v>
      </x:c>
      <x:c r="J56" s="11" t="str">
        <x:v>Preserve Dixie dual-path conduction philosophy provisionally, then verify with QC7790 thermal design guide.</x:v>
      </x:c>
      <x:c r="K56" s="11" t="str">
        <x:v>Medium</x:v>
      </x:c>
      <x:c r="L56" s="11" t="str">
        <x:v>Yes</x:v>
      </x:c>
      <x:c r="M56" s="11" t="str">
        <x:v>Preserve architecture</x:v>
      </x:c>
      <x:c r="N56" s="11" t="str">
        <x:v>A-004</x:v>
      </x:c>
      <x:c r="O56" s="11" t="str">
        <x:v>Pass</x:v>
      </x:c>
    </x:row>
    <x:row r="57" ht="56" customHeight="1">
      <x:c r="A57" s="15" t="str">
        <x:v>MP-053</x:v>
      </x:c>
      <x:c r="B57" s="11" t="str">
        <x:v>Thermal</x:v>
      </x:c>
      <x:c r="C57" s="11" t="str">
        <x:v>Dixie TIM: compute</x:v>
      </x:c>
      <x:c r="D57" s="11" t="str">
        <x:v>TMQ-60 thermal gel, quantity 2.5; 8550-to-heatsink and 8550-to-chassis</x:v>
      </x:c>
      <x:c r="E57" s="11" t="str">
        <x:v>TBD by gap, pressure and QC7790 package</x:v>
      </x:c>
      <x:c r="F57" s="11" t="str">
        <x:v>—</x:v>
      </x:c>
      <x:c r="G57" s="11" t="str">
        <x:v>Known</x:v>
      </x:c>
      <x:c r="H57" s="11" t="str">
        <x:v>Dixie BOM</x:v>
      </x:c>
      <x:c r="I57" s="11" t="str">
        <x:v>Other Parts, THERMAL GEL item</x:v>
      </x:c>
      <x:c r="J57" s="11" t="str">
        <x:v>Reference material concept only; quantity unit is unclear in source.</x:v>
      </x:c>
      <x:c r="K57" s="11" t="str">
        <x:v>Medium</x:v>
      </x:c>
      <x:c r="L57" s="11" t="str">
        <x:v>Yes</x:v>
      </x:c>
      <x:c r="M57" s="11" t="str">
        <x:v>Do not scale</x:v>
      </x:c>
      <x:c r="N57" s="11" t="str"/>
      <x:c r="O57" s="11" t="str">
        <x:v>Open: BOM quantity unit unspecified</x:v>
      </x:c>
    </x:row>
    <x:row r="58" ht="56" customHeight="1">
      <x:c r="A58" s="15" t="str">
        <x:v>MP-054</x:v>
      </x:c>
      <x:c r="B58" s="11" t="str">
        <x:v>Thermal</x:v>
      </x:c>
      <x:c r="C58" s="11" t="str">
        <x:v>Dixie TIM: heat pipe</x:v>
      </x:c>
      <x:c r="D58" s="11" t="str">
        <x:v>TMA-3510, 45 × 10 × 1.0, 3.5 W/m·K</x:v>
      </x:c>
      <x:c r="E58" s="11" t="str">
        <x:v>TBD</x:v>
      </x:c>
      <x:c r="F58" s="11" t="str">
        <x:v>mm; W/m·K</x:v>
      </x:c>
      <x:c r="G58" s="11" t="str">
        <x:v>Known</x:v>
      </x:c>
      <x:c r="H58" s="11" t="str">
        <x:v>Dixie BOM; thermal-pad drawing set</x:v>
      </x:c>
      <x:c r="I58" s="11" t="str">
        <x:v>Other Parts thermal item 1; thermal-pad PDFs</x:v>
      </x:c>
      <x:c r="J58" s="11" t="str">
        <x:v>Reference interface; Hinoki gap and conductivity require stack-up and heat-flow analysis.</x:v>
      </x:c>
      <x:c r="K58" s="11" t="str">
        <x:v>High</x:v>
      </x:c>
      <x:c r="L58" s="11" t="str">
        <x:v>Yes</x:v>
      </x:c>
      <x:c r="M58" s="11" t="str">
        <x:v>Re-derive</x:v>
      </x:c>
      <x:c r="N58" s="11" t="str"/>
      <x:c r="O58" s="11" t="str">
        <x:v>Pass</x:v>
      </x:c>
    </x:row>
    <x:row r="59" ht="56" customHeight="1">
      <x:c r="A59" s="15" t="str">
        <x:v>MP-055</x:v>
      </x:c>
      <x:c r="B59" s="11" t="str">
        <x:v>Thermal</x:v>
      </x:c>
      <x:c r="C59" s="11" t="str">
        <x:v>Dixie TIM: heatsink to I/O hatch</x:v>
      </x:c>
      <x:c r="D59" s="11" t="str">
        <x:v>TMA-8010X, 45 × 40 × 1.7, 8 W/m·K</x:v>
      </x:c>
      <x:c r="E59" s="11" t="str">
        <x:v>TBD</x:v>
      </x:c>
      <x:c r="F59" s="11" t="str">
        <x:v>mm; W/m·K</x:v>
      </x:c>
      <x:c r="G59" s="11" t="str">
        <x:v>Known</x:v>
      </x:c>
      <x:c r="H59" s="11" t="str">
        <x:v>Dixie BOM; thermal-pad drawing set</x:v>
      </x:c>
      <x:c r="I59" s="11" t="str">
        <x:v>Other Parts thermal item 2; thermal-pad PDFs</x:v>
      </x:c>
      <x:c r="J59" s="11" t="str">
        <x:v>Shows Dixie use of enclosure/service hatch as secondary heat spreader.</x:v>
      </x:c>
      <x:c r="K59" s="11" t="str">
        <x:v>High</x:v>
      </x:c>
      <x:c r="L59" s="11" t="str">
        <x:v>Yes</x:v>
      </x:c>
      <x:c r="M59" s="11" t="str">
        <x:v>Preserve architecture</x:v>
      </x:c>
      <x:c r="N59" s="11" t="str"/>
      <x:c r="O59" s="11" t="str">
        <x:v>Pass</x:v>
      </x:c>
    </x:row>
    <x:row r="60" ht="56" customHeight="1">
      <x:c r="A60" s="15" t="str">
        <x:v>MP-056</x:v>
      </x:c>
      <x:c r="B60" s="11" t="str">
        <x:v>Thermal</x:v>
      </x:c>
      <x:c r="C60" s="11" t="str">
        <x:v>Dixie power-board transistor pads</x:v>
      </x:c>
      <x:c r="D60" s="11" t="str">
        <x:v>15 × 15 × 5, K8, qty 3 for Q911/Q914/Q919</x:v>
      </x:c>
      <x:c r="E60" s="11" t="str">
        <x:v>TBD</x:v>
      </x:c>
      <x:c r="F60" s="11" t="str">
        <x:v>mm</x:v>
      </x:c>
      <x:c r="G60" s="11" t="str">
        <x:v>Known</x:v>
      </x:c>
      <x:c r="H60" s="11" t="str">
        <x:v>Dixie BOM; 194719005121_thermal pad.pdf</x:v>
      </x:c>
      <x:c r="I60" s="11" t="str">
        <x:v>Other Parts thermal item 7; drawing</x:v>
      </x:c>
      <x:c r="J60" s="11" t="str">
        <x:v>Reference only; Hinoki power architecture and gaps differ.</x:v>
      </x:c>
      <x:c r="K60" s="11" t="str">
        <x:v>High</x:v>
      </x:c>
      <x:c r="L60" s="11" t="str">
        <x:v>Yes</x:v>
      </x:c>
      <x:c r="M60" s="11" t="str">
        <x:v>Re-derive</x:v>
      </x:c>
      <x:c r="N60" s="11" t="str"/>
      <x:c r="O60" s="11" t="str">
        <x:v>Pass</x:v>
      </x:c>
    </x:row>
    <x:row r="61" ht="56" customHeight="1">
      <x:c r="A61" s="15" t="str">
        <x:v>MP-057</x:v>
      </x:c>
      <x:c r="B61" s="11" t="str">
        <x:v>Thermal</x:v>
      </x:c>
      <x:c r="C61" s="11" t="str">
        <x:v>Cooling mode</x:v>
      </x:c>
      <x:c r="D61" s="11" t="str">
        <x:v>Large chassis / heat spreader architecture; fan status not established</x:v>
      </x:c>
      <x:c r="E61" s="11" t="str">
        <x:v>Passive-first concept; fan requirement TBD by thermal validation</x:v>
      </x:c>
      <x:c r="F61" s="11" t="str">
        <x:v>—</x:v>
      </x:c>
      <x:c r="G61" s="11" t="str">
        <x:v>Assumed</x:v>
      </x:c>
      <x:c r="H61" s="11" t="str">
        <x:v>Hinoki Assumption Log</x:v>
      </x:c>
      <x:c r="I61" s="11" t="str">
        <x:v>A-005</x:v>
      </x:c>
      <x:c r="J61" s="11" t="str">
        <x:v>Desktop acoustics favor passive operation, but this is not yet a committed requirement.</x:v>
      </x:c>
      <x:c r="K61" s="11" t="str">
        <x:v>Low-to-medium</x:v>
      </x:c>
      <x:c r="L61" s="11" t="str">
        <x:v>Yes</x:v>
      </x:c>
      <x:c r="M61" s="11" t="str">
        <x:v>Re-derive</x:v>
      </x:c>
      <x:c r="N61" s="11" t="str">
        <x:v>A-005</x:v>
      </x:c>
      <x:c r="O61" s="11" t="str">
        <x:v>Pass</x:v>
      </x:c>
    </x:row>
    <x:row r="62" ht="56" customHeight="1">
      <x:c r="A62" s="15" t="str">
        <x:v>MP-058</x:v>
      </x:c>
      <x:c r="B62" s="11" t="str">
        <x:v>Power Model</x:v>
      </x:c>
      <x:c r="C62" s="11" t="str">
        <x:v>Scenario: Idle</x:v>
      </x:c>
      <x:c r="D62" s="11" t="str">
        <x:v>Not supplied</x:v>
      </x:c>
      <x:c r="E62" s="11" t="str">
        <x:v>Subsystem inputs TBD</x:v>
      </x:c>
      <x:c r="F62" s="11" t="str">
        <x:v>W</x:v>
      </x:c>
      <x:c r="G62" s="11" t="str">
        <x:v>TBD</x:v>
      </x:c>
      <x:c r="H62" s="11" t="str">
        <x:v>User request</x:v>
      </x:c>
      <x:c r="I62" s="11" t="str">
        <x:v>Power-model scenario definition</x:v>
      </x:c>
      <x:c r="J62" s="11" t="str">
        <x:v>Model QC7790, panel/backlight, camera standby, audio, sensors, connectivity, conversion losses and auxiliaries separately.</x:v>
      </x:c>
      <x:c r="K62" s="11" t="str">
        <x:v>Open</x:v>
      </x:c>
      <x:c r="L62" s="11" t="str">
        <x:v>No</x:v>
      </x:c>
      <x:c r="M62" s="11" t="str">
        <x:v>Re-derive</x:v>
      </x:c>
      <x:c r="N62" s="11" t="str"/>
      <x:c r="O62" s="11" t="str">
        <x:v>Pass</x:v>
      </x:c>
    </x:row>
    <x:row r="63" ht="56" customHeight="1">
      <x:c r="A63" s="15" t="str">
        <x:v>MP-059</x:v>
      </x:c>
      <x:c r="B63" s="11" t="str">
        <x:v>Power Model</x:v>
      </x:c>
      <x:c r="C63" s="11" t="str">
        <x:v>Scenario: Normal</x:v>
      </x:c>
      <x:c r="D63" s="11" t="str">
        <x:v>Not supplied</x:v>
      </x:c>
      <x:c r="E63" s="11" t="str">
        <x:v>Subsystem inputs TBD</x:v>
      </x:c>
      <x:c r="F63" s="11" t="str">
        <x:v>W</x:v>
      </x:c>
      <x:c r="G63" s="11" t="str">
        <x:v>TBD</x:v>
      </x:c>
      <x:c r="H63" s="11" t="str">
        <x:v>User request</x:v>
      </x:c>
      <x:c r="I63" s="11" t="str">
        <x:v>Power-model scenario definition</x:v>
      </x:c>
      <x:c r="J63" s="11" t="str">
        <x:v>Use measured/qualified average loads; do not infer from Dixie geometry.</x:v>
      </x:c>
      <x:c r="K63" s="11" t="str">
        <x:v>Open</x:v>
      </x:c>
      <x:c r="L63" s="11" t="str">
        <x:v>No</x:v>
      </x:c>
      <x:c r="M63" s="11" t="str">
        <x:v>Re-derive</x:v>
      </x:c>
      <x:c r="N63" s="11" t="str"/>
      <x:c r="O63" s="11" t="str">
        <x:v>Pass</x:v>
      </x:c>
    </x:row>
    <x:row r="64" ht="56" customHeight="1">
      <x:c r="A64" s="15" t="str">
        <x:v>MP-060</x:v>
      </x:c>
      <x:c r="B64" s="11" t="str">
        <x:v>Power Model</x:v>
      </x:c>
      <x:c r="C64" s="11" t="str">
        <x:v>Scenario: Teams Call</x:v>
      </x:c>
      <x:c r="D64" s="11" t="str">
        <x:v>Not supplied</x:v>
      </x:c>
      <x:c r="E64" s="11" t="str">
        <x:v>Subsystem inputs TBD</x:v>
      </x:c>
      <x:c r="F64" s="11" t="str">
        <x:v>W</x:v>
      </x:c>
      <x:c r="G64" s="11" t="str">
        <x:v>TBD</x:v>
      </x:c>
      <x:c r="H64" s="11" t="str">
        <x:v>User request</x:v>
      </x:c>
      <x:c r="I64" s="11" t="str">
        <x:v>Power-model scenario definition</x:v>
      </x:c>
      <x:c r="J64" s="11" t="str">
        <x:v>Include active camera/ISP, microphones/DSP, speakers, network, SOM workload and display.</x:v>
      </x:c>
      <x:c r="K64" s="11" t="str">
        <x:v>Open</x:v>
      </x:c>
      <x:c r="L64" s="11" t="str">
        <x:v>No</x:v>
      </x:c>
      <x:c r="M64" s="11" t="str">
        <x:v>Re-derive</x:v>
      </x:c>
      <x:c r="N64" s="11" t="str"/>
      <x:c r="O64" s="11" t="str">
        <x:v>Pass</x:v>
      </x:c>
    </x:row>
    <x:row r="65" ht="56" customHeight="1">
      <x:c r="A65" s="15" t="str">
        <x:v>MP-061</x:v>
      </x:c>
      <x:c r="B65" s="11" t="str">
        <x:v>Power Model</x:v>
      </x:c>
      <x:c r="C65" s="11" t="str">
        <x:v>Scenario: Maximum Brightness</x:v>
      </x:c>
      <x:c r="D65" s="11" t="str">
        <x:v>Not supplied</x:v>
      </x:c>
      <x:c r="E65" s="11" t="str">
        <x:v>Subsystem inputs TBD</x:v>
      </x:c>
      <x:c r="F65" s="11" t="str">
        <x:v>W</x:v>
      </x:c>
      <x:c r="G65" s="11" t="str">
        <x:v>TBD</x:v>
      </x:c>
      <x:c r="H65" s="11" t="str">
        <x:v>User request</x:v>
      </x:c>
      <x:c r="I65" s="11" t="str">
        <x:v>Power-model scenario definition</x:v>
      </x:c>
      <x:c r="J65" s="11" t="str">
        <x:v>Separate panel logic and maximum backlight power.</x:v>
      </x:c>
      <x:c r="K65" s="11" t="str">
        <x:v>Open</x:v>
      </x:c>
      <x:c r="L65" s="11" t="str">
        <x:v>No</x:v>
      </x:c>
      <x:c r="M65" s="11" t="str">
        <x:v>Re-derive</x:v>
      </x:c>
      <x:c r="N65" s="11" t="str"/>
      <x:c r="O65" s="11" t="str">
        <x:v>Pass</x:v>
      </x:c>
    </x:row>
    <x:row r="66" ht="56" customHeight="1">
      <x:c r="A66" s="15" t="str">
        <x:v>MP-062</x:v>
      </x:c>
      <x:c r="B66" s="11" t="str">
        <x:v>Power Model</x:v>
      </x:c>
      <x:c r="C66" s="11" t="str">
        <x:v>Scenario: Heavy Load</x:v>
      </x:c>
      <x:c r="D66" s="11" t="str">
        <x:v>Not supplied</x:v>
      </x:c>
      <x:c r="E66" s="11" t="str">
        <x:v>Subsystem inputs TBD</x:v>
      </x:c>
      <x:c r="F66" s="11" t="str">
        <x:v>W</x:v>
      </x:c>
      <x:c r="G66" s="11" t="str">
        <x:v>TBD</x:v>
      </x:c>
      <x:c r="H66" s="11" t="str">
        <x:v>User request</x:v>
      </x:c>
      <x:c r="I66" s="11" t="str">
        <x:v>Power-model scenario definition</x:v>
      </x:c>
      <x:c r="J66" s="11" t="str">
        <x:v>Use QC7790 sustained power limit plus concurrent peripheral maxima, avoiding impossible peak stacking.</x:v>
      </x:c>
      <x:c r="K66" s="11" t="str">
        <x:v>Open</x:v>
      </x:c>
      <x:c r="L66" s="11" t="str">
        <x:v>No</x:v>
      </x:c>
      <x:c r="M66" s="11" t="str">
        <x:v>Re-derive</x:v>
      </x:c>
      <x:c r="N66" s="11" t="str"/>
      <x:c r="O66" s="11" t="str">
        <x:v>Pass</x:v>
      </x:c>
    </x:row>
    <x:row r="67" ht="56" customHeight="1">
      <x:c r="A67" s="15" t="str">
        <x:v>MP-063</x:v>
      </x:c>
      <x:c r="B67" s="11" t="str">
        <x:v>Power Model</x:v>
      </x:c>
      <x:c r="C67" s="11" t="str">
        <x:v>Scenario: BYOD + 90 W charging</x:v>
      </x:c>
      <x:c r="D67" s="11" t="str">
        <x:v>Not supplied</x:v>
      </x:c>
      <x:c r="E67" s="11" t="str">
        <x:v>90 W delivered to laptop plus Hinoki operating load plus PD losses</x:v>
      </x:c>
      <x:c r="F67" s="11" t="str">
        <x:v>W</x:v>
      </x:c>
      <x:c r="G67" s="11" t="str">
        <x:v>Derived</x:v>
      </x:c>
      <x:c r="H67" s="11" t="str">
        <x:v>User request; MP-036</x:v>
      </x:c>
      <x:c r="I67" s="11" t="str">
        <x:v>Power-model boundary rule</x:v>
      </x:c>
      <x:c r="J67" s="11" t="str">
        <x:v>Input draw includes laptop-delivered power; Hinoki internal thermal dissipation excludes that 90 W and includes only PD conversion/conduction losses.</x:v>
      </x:c>
      <x:c r="K67" s="11" t="str">
        <x:v>High</x:v>
      </x:c>
      <x:c r="L67" s="11" t="str">
        <x:v>No</x:v>
      </x:c>
      <x:c r="M67" s="11" t="str">
        <x:v>Re-derive</x:v>
      </x:c>
      <x:c r="N67" s="11" t="str"/>
      <x:c r="O67" s="11" t="str">
        <x:v>Pass</x:v>
      </x:c>
    </x:row>
    <x:row r="68" ht="56" customHeight="1">
      <x:c r="A68" s="15" t="str">
        <x:v>MP-064</x:v>
      </x:c>
      <x:c r="B68" s="11" t="str">
        <x:v>Power Model</x:v>
      </x:c>
      <x:c r="C68" s="11" t="str">
        <x:v>USB-C PD efficiency at 90 W</x:v>
      </x:c>
      <x:c r="D68" s="11" t="str">
        <x:v>Not supplied</x:v>
      </x:c>
      <x:c r="E68" s="11" t="str">
        <x:v>92% provisional</x:v>
      </x:c>
      <x:c r="F68" s="11" t="str">
        <x:v>%</x:v>
      </x:c>
      <x:c r="G68" s="11" t="str">
        <x:v>Assumed</x:v>
      </x:c>
      <x:c r="H68" s="11" t="str">
        <x:v>Hinoki Assumption Log</x:v>
      </x:c>
      <x:c r="I68" s="11" t="str">
        <x:v>A-006</x:v>
      </x:c>
      <x:c r="J68" s="11" t="str">
        <x:v>Temporary model input until PD controller, DC/DC topology and thermal test data are available.</x:v>
      </x:c>
      <x:c r="K68" s="11" t="str">
        <x:v>Low-to-medium</x:v>
      </x:c>
      <x:c r="L68" s="11" t="str">
        <x:v>No</x:v>
      </x:c>
      <x:c r="M68" s="11" t="str">
        <x:v>Re-derive</x:v>
      </x:c>
      <x:c r="N68" s="11" t="str">
        <x:v>A-006</x:v>
      </x:c>
      <x:c r="O68" s="11" t="str">
        <x:v>Pass</x:v>
      </x:c>
    </x:row>
    <x:row r="69" ht="56" customHeight="1">
      <x:c r="A69" s="15" t="str">
        <x:v>MP-065</x:v>
      </x:c>
      <x:c r="B69" s="11" t="str">
        <x:v>Power Model</x:v>
      </x:c>
      <x:c r="C69" s="11" t="str">
        <x:v>USB-C PD conversion + conduction loss at 90 W delivered</x:v>
      </x:c>
      <x:c r="D69" s="11" t="str">
        <x:v>Not supplied</x:v>
      </x:c>
      <x:c r="E69" s="11" t="n">
        <x:f>ROUND(90/0.92-90,1)</x:f>
        <x:v>7.8</x:v>
      </x:c>
      <x:c r="F69" s="11" t="str">
        <x:v>W</x:v>
      </x:c>
      <x:c r="G69" s="11" t="str">
        <x:v>Derived</x:v>
      </x:c>
      <x:c r="H69" s="11" t="str">
        <x:v>MP-036; MP-064</x:v>
      </x:c>
      <x:c r="I69" s="11" t="str">
        <x:v>90 / 0.92 − 90</x:v>
      </x:c>
      <x:c r="J69" s="11" t="str">
        <x:v>Only this loss contributes to Hinoki thermal budget, not the delivered 90 W.</x:v>
      </x:c>
      <x:c r="K69" s="11" t="str">
        <x:v>Low-to-medium; depends on A-006</x:v>
      </x:c>
      <x:c r="L69" s="11" t="str">
        <x:v>No</x:v>
      </x:c>
      <x:c r="M69" s="11" t="str">
        <x:v>Re-derive</x:v>
      </x:c>
      <x:c r="N69" s="11" t="str">
        <x:v>A-006</x:v>
      </x:c>
      <x:c r="O69" s="11" t="str">
        <x:v>Pass</x:v>
      </x:c>
    </x:row>
    <x:row r="70" ht="56" customHeight="1">
      <x:c r="A70" s="15" t="str">
        <x:v>MP-066</x:v>
      </x:c>
      <x:c r="B70" s="11" t="str">
        <x:v>Power Model</x:v>
      </x:c>
      <x:c r="C70" s="11" t="str">
        <x:v>QC7790 scenario power</x:v>
      </x:c>
      <x:c r="D70" s="11" t="str">
        <x:v>QC8550 values not supplied</x:v>
      </x:c>
      <x:c r="E70" s="11" t="str">
        <x:v>TBD for every scenario</x:v>
      </x:c>
      <x:c r="F70" s="11" t="str">
        <x:v>W</x:v>
      </x:c>
      <x:c r="G70" s="11" t="str">
        <x:v>TBD</x:v>
      </x:c>
      <x:c r="H70" s="11" t="str">
        <x:v>QC7790 vendor thermal/power data required</x:v>
      </x:c>
      <x:c r="I70" s="11" t="str">
        <x:v>Power model input</x:v>
      </x:c>
      <x:c r="J70" s="11" t="str">
        <x:v>Need idle, typical call, sustained and peak values at selected operating limits.</x:v>
      </x:c>
      <x:c r="K70" s="11" t="str">
        <x:v>Open</x:v>
      </x:c>
      <x:c r="L70" s="11" t="str">
        <x:v>No</x:v>
      </x:c>
      <x:c r="M70" s="11" t="str">
        <x:v>Do not scale</x:v>
      </x:c>
      <x:c r="N70" s="11" t="str"/>
      <x:c r="O70" s="11" t="str">
        <x:v>Pass</x:v>
      </x:c>
    </x:row>
    <x:row r="71" ht="56" customHeight="1">
      <x:c r="A71" s="15" t="str">
        <x:v>MP-067</x:v>
      </x:c>
      <x:c r="B71" s="11" t="str">
        <x:v>Power Model</x:v>
      </x:c>
      <x:c r="C71" s="11" t="str">
        <x:v>Display panel logic power</x:v>
      </x:c>
      <x:c r="D71" s="11" t="str">
        <x:v>Not supplied</x:v>
      </x:c>
      <x:c r="E71" s="11" t="str">
        <x:v>TBD for every scenario</x:v>
      </x:c>
      <x:c r="F71" s="11" t="str">
        <x:v>W</x:v>
      </x:c>
      <x:c r="G71" s="11" t="str">
        <x:v>TBD</x:v>
      </x:c>
      <x:c r="H71" s="11" t="str">
        <x:v>Selected panel datasheet required</x:v>
      </x:c>
      <x:c r="I71" s="11" t="str">
        <x:v>Power model input</x:v>
      </x:c>
      <x:c r="J71" s="11" t="str">
        <x:v>Keep separate from backlight to model brightness scenarios.</x:v>
      </x:c>
      <x:c r="K71" s="11" t="str">
        <x:v>Open</x:v>
      </x:c>
      <x:c r="L71" s="11" t="str">
        <x:v>No</x:v>
      </x:c>
      <x:c r="M71" s="11" t="str">
        <x:v>Do not scale</x:v>
      </x:c>
      <x:c r="N71" s="11" t="str"/>
      <x:c r="O71" s="11" t="str">
        <x:v>Pass</x:v>
      </x:c>
    </x:row>
    <x:row r="72" ht="56" customHeight="1">
      <x:c r="A72" s="15" t="str">
        <x:v>MP-068</x:v>
      </x:c>
      <x:c r="B72" s="11" t="str">
        <x:v>Power Model</x:v>
      </x:c>
      <x:c r="C72" s="11" t="str">
        <x:v>Backlight power</x:v>
      </x:c>
      <x:c r="D72" s="11" t="str">
        <x:v>Not supplied</x:v>
      </x:c>
      <x:c r="E72" s="11" t="str">
        <x:v>TBD versus brightness</x:v>
      </x:c>
      <x:c r="F72" s="11" t="str">
        <x:v>W</x:v>
      </x:c>
      <x:c r="G72" s="11" t="str">
        <x:v>TBD</x:v>
      </x:c>
      <x:c r="H72" s="11" t="str">
        <x:v>Selected panel datasheet / measurement required</x:v>
      </x:c>
      <x:c r="I72" s="11" t="str">
        <x:v>Power model input</x:v>
      </x:c>
      <x:c r="J72" s="11" t="str">
        <x:v>Required for Idle, Normal and Maximum Brightness.</x:v>
      </x:c>
      <x:c r="K72" s="11" t="str">
        <x:v>Open</x:v>
      </x:c>
      <x:c r="L72" s="11" t="str">
        <x:v>No</x:v>
      </x:c>
      <x:c r="M72" s="11" t="str">
        <x:v>Do not scale</x:v>
      </x:c>
      <x:c r="N72" s="11" t="str"/>
      <x:c r="O72" s="11" t="str">
        <x:v>Pass</x:v>
      </x:c>
    </x:row>
    <x:row r="73" ht="56" customHeight="1">
      <x:c r="A73" s="15" t="str">
        <x:v>MP-069</x:v>
      </x:c>
      <x:c r="B73" s="11" t="str">
        <x:v>Power Model</x:v>
      </x:c>
      <x:c r="C73" s="11" t="str">
        <x:v>Camera + ISP power</x:v>
      </x:c>
      <x:c r="D73" s="11" t="str">
        <x:v>Not supplied</x:v>
      </x:c>
      <x:c r="E73" s="11" t="str">
        <x:v>TBD standby / active 4K</x:v>
      </x:c>
      <x:c r="F73" s="11" t="str">
        <x:v>W</x:v>
      </x:c>
      <x:c r="G73" s="11" t="str">
        <x:v>TBD</x:v>
      </x:c>
      <x:c r="H73" s="11" t="str">
        <x:v>Camera module and QC7790 data required</x:v>
      </x:c>
      <x:c r="I73" s="11" t="str">
        <x:v>Power model input</x:v>
      </x:c>
      <x:c r="J73" s="11" t="str">
        <x:v>Include sensor, serializer/interface and ISP allocation without double counting SOM power.</x:v>
      </x:c>
      <x:c r="K73" s="11" t="str">
        <x:v>Open</x:v>
      </x:c>
      <x:c r="L73" s="11" t="str">
        <x:v>No</x:v>
      </x:c>
      <x:c r="M73" s="11" t="str">
        <x:v>Do not scale</x:v>
      </x:c>
      <x:c r="N73" s="11" t="str"/>
      <x:c r="O73" s="11" t="str">
        <x:v>Pass</x:v>
      </x:c>
    </x:row>
    <x:row r="74" ht="56" customHeight="1">
      <x:c r="A74" s="15" t="str">
        <x:v>MP-070</x:v>
      </x:c>
      <x:c r="B74" s="11" t="str">
        <x:v>Power Model</x:v>
      </x:c>
      <x:c r="C74" s="11" t="str">
        <x:v>Audio power</x:v>
      </x:c>
      <x:c r="D74" s="11" t="str">
        <x:v>Not supplied</x:v>
      </x:c>
      <x:c r="E74" s="11" t="str">
        <x:v>TBD idle / call / maximum output</x:v>
      </x:c>
      <x:c r="F74" s="11" t="str">
        <x:v>W</x:v>
      </x:c>
      <x:c r="G74" s="11" t="str">
        <x:v>TBD</x:v>
      </x:c>
      <x:c r="H74" s="11" t="str">
        <x:v>Amplifier and speaker selection required</x:v>
      </x:c>
      <x:c r="I74" s="11" t="str">
        <x:v>Power model input</x:v>
      </x:c>
      <x:c r="J74" s="11" t="str">
        <x:v>Separate amplifier loss from acoustic output assumptions.</x:v>
      </x:c>
      <x:c r="K74" s="11" t="str">
        <x:v>Open</x:v>
      </x:c>
      <x:c r="L74" s="11" t="str">
        <x:v>No</x:v>
      </x:c>
      <x:c r="M74" s="11" t="str">
        <x:v>Do not scale</x:v>
      </x:c>
      <x:c r="N74" s="11" t="str"/>
      <x:c r="O74" s="11" t="str">
        <x:v>Pass</x:v>
      </x:c>
    </x:row>
    <x:row r="75" ht="56" customHeight="1">
      <x:c r="A75" s="15" t="str">
        <x:v>MP-071</x:v>
      </x:c>
      <x:c r="B75" s="11" t="str">
        <x:v>Power Model</x:v>
      </x:c>
      <x:c r="C75" s="11" t="str">
        <x:v>Radar + ambient sensor power</x:v>
      </x:c>
      <x:c r="D75" s="11" t="str">
        <x:v>Not supplied</x:v>
      </x:c>
      <x:c r="E75" s="11" t="str">
        <x:v>TBD</x:v>
      </x:c>
      <x:c r="F75" s="11" t="str">
        <x:v>W</x:v>
      </x:c>
      <x:c r="G75" s="11" t="str">
        <x:v>TBD</x:v>
      </x:c>
      <x:c r="H75" s="11" t="str">
        <x:v>Module datasheets required</x:v>
      </x:c>
      <x:c r="I75" s="11" t="str">
        <x:v>Power model input</x:v>
      </x:c>
      <x:c r="J75" s="11" t="str">
        <x:v>Model always-on and active states separately.</x:v>
      </x:c>
      <x:c r="K75" s="11" t="str">
        <x:v>Open</x:v>
      </x:c>
      <x:c r="L75" s="11" t="str">
        <x:v>No</x:v>
      </x:c>
      <x:c r="M75" s="11" t="str">
        <x:v>Do not scale</x:v>
      </x:c>
      <x:c r="N75" s="11" t="str"/>
      <x:c r="O75" s="11" t="str">
        <x:v>Pass</x:v>
      </x:c>
    </x:row>
    <x:row r="76" ht="56" customHeight="1">
      <x:c r="A76" s="15" t="str">
        <x:v>MP-072</x:v>
      </x:c>
      <x:c r="B76" s="11" t="str">
        <x:v>Power Model</x:v>
      </x:c>
      <x:c r="C76" s="11" t="str">
        <x:v>Wi-Fi / BLE / Ethernet power</x:v>
      </x:c>
      <x:c r="D76" s="11" t="str">
        <x:v>Not supplied</x:v>
      </x:c>
      <x:c r="E76" s="11" t="str">
        <x:v>TBD by traffic state</x:v>
      </x:c>
      <x:c r="F76" s="11" t="str">
        <x:v>W</x:v>
      </x:c>
      <x:c r="G76" s="11" t="str">
        <x:v>TBD</x:v>
      </x:c>
      <x:c r="H76" s="11" t="str">
        <x:v>Module / PHY datasheets required</x:v>
      </x:c>
      <x:c r="I76" s="11" t="str">
        <x:v>Power model input</x:v>
      </x:c>
      <x:c r="J76" s="11" t="str">
        <x:v>Avoid double counting radios integrated into SOM/module.</x:v>
      </x:c>
      <x:c r="K76" s="11" t="str">
        <x:v>Open</x:v>
      </x:c>
      <x:c r="L76" s="11" t="str">
        <x:v>No</x:v>
      </x:c>
      <x:c r="M76" s="11" t="str">
        <x:v>Do not scale</x:v>
      </x:c>
      <x:c r="N76" s="11" t="str"/>
      <x:c r="O76" s="11" t="str">
        <x:v>Pass</x:v>
      </x:c>
    </x:row>
    <x:row r="77" ht="56" customHeight="1">
      <x:c r="A77" s="15" t="str">
        <x:v>MP-073</x:v>
      </x:c>
      <x:c r="B77" s="11" t="str">
        <x:v>Power Model</x:v>
      </x:c>
      <x:c r="C77" s="11" t="str">
        <x:v>Front-light power</x:v>
      </x:c>
      <x:c r="D77" s="11" t="str">
        <x:v>None</x:v>
      </x:c>
      <x:c r="E77" s="11" t="str">
        <x:v>TBD by illuminance target and efficiency</x:v>
      </x:c>
      <x:c r="F77" s="11" t="str">
        <x:v>W</x:v>
      </x:c>
      <x:c r="G77" s="11" t="str">
        <x:v>TBD</x:v>
      </x:c>
      <x:c r="H77" s="11" t="str">
        <x:v>Lighting requirements and LED selection required</x:v>
      </x:c>
      <x:c r="I77" s="11" t="str">
        <x:v>Power model input</x:v>
      </x:c>
      <x:c r="J77" s="11" t="str">
        <x:v>Add as separate load and local thermal source.</x:v>
      </x:c>
      <x:c r="K77" s="11" t="str">
        <x:v>Open</x:v>
      </x:c>
      <x:c r="L77" s="11" t="str">
        <x:v>No</x:v>
      </x:c>
      <x:c r="M77" s="11" t="str">
        <x:v>Do not scale</x:v>
      </x:c>
      <x:c r="N77" s="11" t="str"/>
      <x:c r="O77" s="11" t="str">
        <x:v>Pass</x:v>
      </x:c>
    </x:row>
    <x:row r="78" ht="56" customHeight="1">
      <x:c r="A78" s="15" t="str">
        <x:v>MP-074</x:v>
      </x:c>
      <x:c r="B78" s="11" t="str">
        <x:v>Power Model</x:v>
      </x:c>
      <x:c r="C78" s="11" t="str">
        <x:v>Power-supply / conversion losses excluding USB-C PD</x:v>
      </x:c>
      <x:c r="D78" s="11" t="str">
        <x:v>Not supplied</x:v>
      </x:c>
      <x:c r="E78" s="11" t="str">
        <x:v>TBD by rail and scenario</x:v>
      </x:c>
      <x:c r="F78" s="11" t="str">
        <x:v>W</x:v>
      </x:c>
      <x:c r="G78" s="11" t="str">
        <x:v>TBD</x:v>
      </x:c>
      <x:c r="H78" s="11" t="str">
        <x:v>Power-tree design required</x:v>
      </x:c>
      <x:c r="I78" s="11" t="str">
        <x:v>Power model input</x:v>
      </x:c>
      <x:c r="J78" s="11" t="str">
        <x:v>Model AC/DC and point-of-load efficiencies against actual loads.</x:v>
      </x:c>
      <x:c r="K78" s="11" t="str">
        <x:v>Open</x:v>
      </x:c>
      <x:c r="L78" s="11" t="str">
        <x:v>No</x:v>
      </x:c>
      <x:c r="M78" s="11" t="str">
        <x:v>Do not scale</x:v>
      </x:c>
      <x:c r="N78" s="11" t="str"/>
      <x:c r="O78" s="11" t="str">
        <x:v>Pass</x:v>
      </x:c>
    </x:row>
    <x:row r="79" ht="56" customHeight="1">
      <x:c r="A79" s="15" t="str">
        <x:v>MP-075</x:v>
      </x:c>
      <x:c r="B79" s="11" t="str">
        <x:v>Power Model</x:v>
      </x:c>
      <x:c r="C79" s="11" t="str">
        <x:v>Hinoki internal dissipation boundary</x:v>
      </x:c>
      <x:c r="D79" s="11" t="str">
        <x:v>Not explicitly documented</x:v>
      </x:c>
      <x:c r="E79" s="11" t="str">
        <x:v>Sum of internal electrical loads and conversion/conduction losses; exclude useful power delivered to laptop</x:v>
      </x:c>
      <x:c r="F79" s="11" t="str">
        <x:v>W</x:v>
      </x:c>
      <x:c r="G79" s="11" t="str">
        <x:v>Derived</x:v>
      </x:c>
      <x:c r="H79" s="11" t="str">
        <x:v>User request</x:v>
      </x:c>
      <x:c r="I79" s="11" t="str">
        <x:v>Thermal model boundary</x:v>
      </x:c>
      <x:c r="J79" s="11" t="str">
        <x:v>Prevents 90 W laptop charging power from being incorrectly added as Hinoki heat.</x:v>
      </x:c>
      <x:c r="K79" s="11" t="str">
        <x:v>High</x:v>
      </x:c>
      <x:c r="L79" s="11" t="str">
        <x:v>No</x:v>
      </x:c>
      <x:c r="M79" s="11" t="str">
        <x:v>Do not scale</x:v>
      </x:c>
      <x:c r="N79" s="11" t="str"/>
      <x:c r="O79" s="11" t="str">
        <x:v>Pass</x:v>
      </x:c>
    </x:row>
    <x:row r="80" ht="56" customHeight="1">
      <x:c r="A80" s="15" t="str">
        <x:v>MP-076</x:v>
      </x:c>
      <x:c r="B80" s="11" t="str">
        <x:v>Validation</x:v>
      </x:c>
      <x:c r="C80" s="11" t="str">
        <x:v>Source-traceability coverage</x:v>
      </x:c>
      <x:c r="D80" s="11" t="str">
        <x:v>Dixie table, BOM, STEP and relevant drawing-file index available</x:v>
      </x:c>
      <x:c r="E80" s="11" t="str">
        <x:v>Each row cites prompt, workbook sheet/item, drawing or required future datasheet</x:v>
      </x:c>
      <x:c r="F80" s="11" t="str">
        <x:v>—</x:v>
      </x:c>
      <x:c r="G80" s="11" t="str">
        <x:v>Derived</x:v>
      </x:c>
      <x:c r="H80" s="11" t="str">
        <x:v>All supplied source files</x:v>
      </x:c>
      <x:c r="I80" s="11" t="str">
        <x:v>Workbook review</x:v>
      </x:c>
      <x:c r="J80" s="11" t="str">
        <x:v>Rows based only on requirements cite the prompt; unresolved values cite the missing governing source.</x:v>
      </x:c>
      <x:c r="K80" s="11" t="str">
        <x:v>High</x:v>
      </x:c>
      <x:c r="L80" s="11" t="str">
        <x:v>No</x:v>
      </x:c>
      <x:c r="M80" s="11" t="str">
        <x:v>Not applicable</x:v>
      </x:c>
      <x:c r="N80" s="11" t="str"/>
      <x:c r="O80" s="11" t="str">
        <x:v>Pass</x:v>
      </x:c>
    </x:row>
    <x:row r="81" ht="56" customHeight="1">
      <x:c r="A81" s="15" t="str">
        <x:v>MP-077</x:v>
      </x:c>
      <x:c r="B81" s="11" t="str">
        <x:v>Validation</x:v>
      </x:c>
      <x:c r="C81" s="11" t="str">
        <x:v>Uniform geometric scaling rule</x:v>
      </x:c>
      <x:c r="D81" s="11" t="str">
        <x:v>Not applicable</x:v>
      </x:c>
      <x:c r="E81" s="11" t="str">
        <x:v>Uniform 32/65 scaling prohibited</x:v>
      </x:c>
      <x:c r="F81" s="11" t="str">
        <x:v>—</x:v>
      </x:c>
      <x:c r="G81" s="11" t="str">
        <x:v>Known</x:v>
      </x:c>
      <x:c r="H81" s="11" t="str">
        <x:v>User request</x:v>
      </x:c>
      <x:c r="I81" s="11" t="str">
        <x:v>Prompt</x:v>
      </x:c>
      <x:c r="J81" s="11" t="str">
        <x:v>Panel, camera optics, touch, audio, cooling, ports, VESA and stand are independently re-derived.</x:v>
      </x:c>
      <x:c r="K81" s="11" t="str">
        <x:v>High</x:v>
      </x:c>
      <x:c r="L81" s="11" t="str">
        <x:v>Yes</x:v>
      </x:c>
      <x:c r="M81" s="11" t="str">
        <x:v>Do not scale</x:v>
      </x:c>
      <x:c r="N81" s="11" t="str"/>
      <x:c r="O81" s="11" t="str">
        <x:v>Pass</x:v>
      </x:c>
    </x:row>
    <x:row r="82" ht="62" customHeight="1">
      <x:c r="A82" s="15" t="str">
        <x:v>MP-078</x:v>
      </x:c>
      <x:c r="B82" s="11" t="str">
        <x:v>Thermal Reference</x:v>
      </x:c>
      <x:c r="C82" s="11" t="str">
        <x:v>Dixie thermal-model ambient temperature</x:v>
      </x:c>
      <x:c r="D82" s="11" t="str">
        <x:v>40 on model-setup page; 45 in simulation-results table</x:v>
      </x:c>
      <x:c r="E82" s="11" t="str">
        <x:v>TBD by Hinoki operating specification</x:v>
      </x:c>
      <x:c r="F82" s="11" t="str">
        <x:v>°C</x:v>
      </x:c>
      <x:c r="G82" s="11" t="str">
        <x:v>Known</x:v>
      </x:c>
      <x:c r="H82" s="11" t="str">
        <x:v>DIXIE热仿真报告_TMV5_20240329.pdf</x:v>
      </x:c>
      <x:c r="I82" s="11" t="str">
        <x:v>pp.3 and 9</x:v>
      </x:c>
      <x:c r="J82" s="11" t="str">
        <x:v>Retain both source literals. Hinoki must define its own ambient design point.</x:v>
      </x:c>
      <x:c r="K82" s="11" t="str">
        <x:v>High for transcription; source is internally inconsistent.</x:v>
      </x:c>
      <x:c r="L82" s="11" t="str">
        <x:v>No</x:v>
      </x:c>
      <x:c r="M82" s="11" t="str">
        <x:v>Do not scale</x:v>
      </x:c>
      <x:c r="N82" s="11" t="str"/>
      <x:c r="O82" s="11" t="str">
        <x:v>Fail: 40°C setup conflicts with 45°C results table</x:v>
      </x:c>
    </x:row>
    <x:row r="83" ht="62" customHeight="1">
      <x:c r="A83" s="15" t="str">
        <x:v>MP-079</x:v>
      </x:c>
      <x:c r="B83" s="11" t="str">
        <x:v>Thermal Reference</x:v>
      </x:c>
      <x:c r="C83" s="11" t="str">
        <x:v>Dixie external-surface emissivity</x:v>
      </x:c>
      <x:c r="D83" s="11" t="str">
        <x:v>0.9</x:v>
      </x:c>
      <x:c r="E83" s="11" t="str">
        <x:v>TBD by Hinoki material / finish</x:v>
      </x:c>
      <x:c r="F83" s="11" t="str">
        <x:v>—</x:v>
      </x:c>
      <x:c r="G83" s="11" t="str">
        <x:v>Known</x:v>
      </x:c>
      <x:c r="H83" s="11" t="str">
        <x:v>DIXIE热仿真报告_TMV5_20240329.pdf</x:v>
      </x:c>
      <x:c r="I83" s="11" t="str">
        <x:v>p.3, system-model setup</x:v>
      </x:c>
      <x:c r="J83" s="11" t="str">
        <x:v>Radiation boundary condition; Hinoki value depends on actual CMF and coating.</x:v>
      </x:c>
      <x:c r="K83" s="11" t="str">
        <x:v>High</x:v>
      </x:c>
      <x:c r="L83" s="11" t="str">
        <x:v>No</x:v>
      </x:c>
      <x:c r="M83" s="11" t="str">
        <x:v>Re-derive</x:v>
      </x:c>
      <x:c r="N83" s="11" t="str"/>
      <x:c r="O83" s="11" t="str">
        <x:v>Pass</x:v>
      </x:c>
    </x:row>
    <x:row r="84" ht="62" customHeight="1">
      <x:c r="A84" s="15" t="str">
        <x:v>MP-080</x:v>
      </x:c>
      <x:c r="B84" s="11" t="str">
        <x:v>Thermal Reference</x:v>
      </x:c>
      <x:c r="C84" s="11" t="str">
        <x:v>U28 junction-to-case resistance Rjc</x:v>
      </x:c>
      <x:c r="D84" s="11" t="str">
        <x:v>5</x:v>
      </x:c>
      <x:c r="E84" s="11" t="str">
        <x:v>Use QC7790 package value</x:v>
      </x:c>
      <x:c r="F84" s="11" t="str">
        <x:v>°C/W</x:v>
      </x:c>
      <x:c r="G84" s="11" t="str">
        <x:v>Known</x:v>
      </x:c>
      <x:c r="H84" s="11" t="str">
        <x:v>DIXIE热仿真报告_TMV5_20240329.pdf</x:v>
      </x:c>
      <x:c r="I84" s="11" t="str">
        <x:v>p.3, U28 chip setup</x:v>
      </x:c>
      <x:c r="J84" s="11" t="str">
        <x:v>Dixie simulation input only; do not transfer to QC7790.</x:v>
      </x:c>
      <x:c r="K84" s="11" t="str">
        <x:v>High</x:v>
      </x:c>
      <x:c r="L84" s="11" t="str">
        <x:v>No</x:v>
      </x:c>
      <x:c r="M84" s="11" t="str">
        <x:v>Do not scale</x:v>
      </x:c>
      <x:c r="N84" s="11" t="str"/>
      <x:c r="O84" s="11" t="str">
        <x:v>Pass</x:v>
      </x:c>
    </x:row>
    <x:row r="85" ht="62" customHeight="1">
      <x:c r="A85" s="15" t="str">
        <x:v>MP-081</x:v>
      </x:c>
      <x:c r="B85" s="11" t="str">
        <x:v>Thermal Reference</x:v>
      </x:c>
      <x:c r="C85" s="11" t="str">
        <x:v>U28 junction-to-board resistance Rjb</x:v>
      </x:c>
      <x:c r="D85" s="11" t="str">
        <x:v>0.9</x:v>
      </x:c>
      <x:c r="E85" s="11" t="str">
        <x:v>Use QC7790 package value</x:v>
      </x:c>
      <x:c r="F85" s="11" t="str">
        <x:v>°C/W</x:v>
      </x:c>
      <x:c r="G85" s="11" t="str">
        <x:v>Known</x:v>
      </x:c>
      <x:c r="H85" s="11" t="str">
        <x:v>DIXIE热仿真报告_TMV5_20240329.pdf</x:v>
      </x:c>
      <x:c r="I85" s="11" t="str">
        <x:v>p.3, U28 chip setup</x:v>
      </x:c>
      <x:c r="J85" s="11" t="str">
        <x:v>Dixie simulation input only; do not transfer to QC7790.</x:v>
      </x:c>
      <x:c r="K85" s="11" t="str">
        <x:v>High</x:v>
      </x:c>
      <x:c r="L85" s="11" t="str">
        <x:v>No</x:v>
      </x:c>
      <x:c r="M85" s="11" t="str">
        <x:v>Do not scale</x:v>
      </x:c>
      <x:c r="N85" s="11" t="str"/>
      <x:c r="O85" s="11" t="str">
        <x:v>Pass</x:v>
      </x:c>
    </x:row>
    <x:row r="86" ht="62" customHeight="1">
      <x:c r="A86" s="15" t="str">
        <x:v>MP-082</x:v>
      </x:c>
      <x:c r="B86" s="11" t="str">
        <x:v>Power Reference</x:v>
      </x:c>
      <x:c r="C86" s="11" t="str">
        <x:v>Dixie U28 modeled heat load</x:v>
      </x:c>
      <x:c r="D86" s="11" t="n">
        <x:v>8</x:v>
      </x:c>
      <x:c r="E86" s="11" t="str">
        <x:v>TBD for QC7790 by scenario</x:v>
      </x:c>
      <x:c r="F86" s="11" t="str">
        <x:v>W</x:v>
      </x:c>
      <x:c r="G86" s="11" t="str">
        <x:v>Known</x:v>
      </x:c>
      <x:c r="H86" s="11" t="str">
        <x:v>DIXIE热仿真报告_TMV5_20240329.pdf</x:v>
      </x:c>
      <x:c r="I86" s="11" t="str">
        <x:v>p.4, heat-source layout</x:v>
      </x:c>
      <x:c r="J86" s="11" t="str">
        <x:v>Reference component load; not a Hinoki scaling basis.</x:v>
      </x:c>
      <x:c r="K86" s="11" t="str">
        <x:v>High</x:v>
      </x:c>
      <x:c r="L86" s="11" t="str">
        <x:v>No</x:v>
      </x:c>
      <x:c r="M86" s="11" t="str">
        <x:v>Do not scale</x:v>
      </x:c>
      <x:c r="N86" s="11" t="str"/>
      <x:c r="O86" s="11" t="str">
        <x:v>Pass</x:v>
      </x:c>
    </x:row>
    <x:row r="87" ht="62" customHeight="1">
      <x:c r="A87" s="15" t="str">
        <x:v>MP-083</x:v>
      </x:c>
      <x:c r="B87" s="11" t="str">
        <x:v>Power Reference</x:v>
      </x:c>
      <x:c r="C87" s="11" t="str">
        <x:v>Dixie U43 modeled heat load</x:v>
      </x:c>
      <x:c r="D87" s="11" t="n">
        <x:v>3.1</x:v>
      </x:c>
      <x:c r="E87" s="11" t="str">
        <x:v>TBD by Hinoki power-tree component</x:v>
      </x:c>
      <x:c r="F87" s="11" t="str">
        <x:v>W</x:v>
      </x:c>
      <x:c r="G87" s="11" t="str">
        <x:v>Known</x:v>
      </x:c>
      <x:c r="H87" s="11" t="str">
        <x:v>DIXIE热仿真报告_TMV5_20240329.pdf</x:v>
      </x:c>
      <x:c r="I87" s="11" t="str">
        <x:v>p.4, heat-source layout</x:v>
      </x:c>
      <x:c r="J87" s="11" t="str">
        <x:v>Reference component load.</x:v>
      </x:c>
      <x:c r="K87" s="11" t="str">
        <x:v>High</x:v>
      </x:c>
      <x:c r="L87" s="11" t="str">
        <x:v>No</x:v>
      </x:c>
      <x:c r="M87" s="11" t="str">
        <x:v>Do not scale</x:v>
      </x:c>
      <x:c r="N87" s="11" t="str"/>
      <x:c r="O87" s="11" t="str">
        <x:v>Pass</x:v>
      </x:c>
    </x:row>
    <x:row r="88" ht="62" customHeight="1">
      <x:c r="A88" s="15" t="str">
        <x:v>MP-084</x:v>
      </x:c>
      <x:c r="B88" s="11" t="str">
        <x:v>Power Reference</x:v>
      </x:c>
      <x:c r="C88" s="11" t="str">
        <x:v>Dixie PCB distributed heat load</x:v>
      </x:c>
      <x:c r="D88" s="11" t="n">
        <x:v>2</x:v>
      </x:c>
      <x:c r="E88" s="11" t="str">
        <x:v>TBD by Hinoki PCB loss allocation</x:v>
      </x:c>
      <x:c r="F88" s="11" t="str">
        <x:v>W</x:v>
      </x:c>
      <x:c r="G88" s="11" t="str">
        <x:v>Known</x:v>
      </x:c>
      <x:c r="H88" s="11" t="str">
        <x:v>DIXIE热仿真报告_TMV5_20240329.pdf</x:v>
      </x:c>
      <x:c r="I88" s="11" t="str">
        <x:v>p.4, heat-source layout</x:v>
      </x:c>
      <x:c r="J88" s="11" t="str">
        <x:v>Background PCB heat term shown separately from named components.</x:v>
      </x:c>
      <x:c r="K88" s="11" t="str">
        <x:v>Medium; report does not define allocation scope.</x:v>
      </x:c>
      <x:c r="L88" s="11" t="str">
        <x:v>No</x:v>
      </x:c>
      <x:c r="M88" s="11" t="str">
        <x:v>Do not scale</x:v>
      </x:c>
      <x:c r="N88" s="11" t="str"/>
      <x:c r="O88" s="11" t="str">
        <x:v>Pass</x:v>
      </x:c>
    </x:row>
    <x:row r="89" ht="62" customHeight="1">
      <x:c r="A89" s="15" t="str">
        <x:v>MP-085</x:v>
      </x:c>
      <x:c r="B89" s="11" t="str">
        <x:v>Power Reference</x:v>
      </x:c>
      <x:c r="C89" s="11" t="str">
        <x:v>Dixie BD1 modeled heat load</x:v>
      </x:c>
      <x:c r="D89" s="11" t="n">
        <x:v>3</x:v>
      </x:c>
      <x:c r="E89" s="11" t="str">
        <x:v>TBD</x:v>
      </x:c>
      <x:c r="F89" s="11" t="str">
        <x:v>W</x:v>
      </x:c>
      <x:c r="G89" s="11" t="str">
        <x:v>Known</x:v>
      </x:c>
      <x:c r="H89" s="11" t="str">
        <x:v>DIXIE热仿真报告_TMV5_20240329.pdf</x:v>
      </x:c>
      <x:c r="I89" s="11" t="str">
        <x:v>p.5, power heat-source layout</x:v>
      </x:c>
      <x:c r="J89" s="11" t="str">
        <x:v>Reference power-board load.</x:v>
      </x:c>
      <x:c r="K89" s="11" t="str">
        <x:v>High</x:v>
      </x:c>
      <x:c r="L89" s="11" t="str">
        <x:v>No</x:v>
      </x:c>
      <x:c r="M89" s="11" t="str">
        <x:v>Do not scale</x:v>
      </x:c>
      <x:c r="N89" s="11" t="str"/>
      <x:c r="O89" s="11" t="str">
        <x:v>Pass</x:v>
      </x:c>
    </x:row>
    <x:row r="90" ht="62" customHeight="1">
      <x:c r="A90" s="15" t="str">
        <x:v>MP-086</x:v>
      </x:c>
      <x:c r="B90" s="11" t="str">
        <x:v>Power Reference</x:v>
      </x:c>
      <x:c r="C90" s="11" t="str">
        <x:v>Dixie BD2 modeled heat load</x:v>
      </x:c>
      <x:c r="D90" s="11" t="n">
        <x:v>3</x:v>
      </x:c>
      <x:c r="E90" s="11" t="str">
        <x:v>TBD</x:v>
      </x:c>
      <x:c r="F90" s="11" t="str">
        <x:v>W</x:v>
      </x:c>
      <x:c r="G90" s="11" t="str">
        <x:v>Known</x:v>
      </x:c>
      <x:c r="H90" s="11" t="str">
        <x:v>DIXIE热仿真报告_TMV5_20240329.pdf</x:v>
      </x:c>
      <x:c r="I90" s="11" t="str">
        <x:v>p.5, power heat-source layout</x:v>
      </x:c>
      <x:c r="J90" s="11" t="str">
        <x:v>Reference power-board load.</x:v>
      </x:c>
      <x:c r="K90" s="11" t="str">
        <x:v>High</x:v>
      </x:c>
      <x:c r="L90" s="11" t="str">
        <x:v>No</x:v>
      </x:c>
      <x:c r="M90" s="11" t="str">
        <x:v>Do not scale</x:v>
      </x:c>
      <x:c r="N90" s="11" t="str"/>
      <x:c r="O90" s="11" t="str">
        <x:v>Pass</x:v>
      </x:c>
    </x:row>
    <x:row r="91" ht="62" customHeight="1">
      <x:c r="A91" s="15" t="str">
        <x:v>MP-087</x:v>
      </x:c>
      <x:c r="B91" s="11" t="str">
        <x:v>Power Reference</x:v>
      </x:c>
      <x:c r="C91" s="11" t="str">
        <x:v>Dixie Q40 modeled heat load</x:v>
      </x:c>
      <x:c r="D91" s="11" t="n">
        <x:v>2.5</x:v>
      </x:c>
      <x:c r="E91" s="11" t="str">
        <x:v>TBD</x:v>
      </x:c>
      <x:c r="F91" s="11" t="str">
        <x:v>W</x:v>
      </x:c>
      <x:c r="G91" s="11" t="str">
        <x:v>Known</x:v>
      </x:c>
      <x:c r="H91" s="11" t="str">
        <x:v>DIXIE热仿真报告_TMV5_20240329.pdf</x:v>
      </x:c>
      <x:c r="I91" s="11" t="str">
        <x:v>p.5, power heat-source layout</x:v>
      </x:c>
      <x:c r="J91" s="11" t="str">
        <x:v>Reference power-board load.</x:v>
      </x:c>
      <x:c r="K91" s="11" t="str">
        <x:v>High</x:v>
      </x:c>
      <x:c r="L91" s="11" t="str">
        <x:v>No</x:v>
      </x:c>
      <x:c r="M91" s="11" t="str">
        <x:v>Do not scale</x:v>
      </x:c>
      <x:c r="N91" s="11" t="str"/>
      <x:c r="O91" s="11" t="str">
        <x:v>Pass</x:v>
      </x:c>
    </x:row>
    <x:row r="92" ht="62" customHeight="1">
      <x:c r="A92" s="15" t="str">
        <x:v>MP-088</x:v>
      </x:c>
      <x:c r="B92" s="11" t="str">
        <x:v>Power Reference</x:v>
      </x:c>
      <x:c r="C92" s="11" t="str">
        <x:v>Dixie Q42 modeled heat load</x:v>
      </x:c>
      <x:c r="D92" s="11" t="n">
        <x:v>2.5</x:v>
      </x:c>
      <x:c r="E92" s="11" t="str">
        <x:v>TBD</x:v>
      </x:c>
      <x:c r="F92" s="11" t="str">
        <x:v>W</x:v>
      </x:c>
      <x:c r="G92" s="11" t="str">
        <x:v>Known</x:v>
      </x:c>
      <x:c r="H92" s="11" t="str">
        <x:v>DIXIE热仿真报告_TMV5_20240329.pdf</x:v>
      </x:c>
      <x:c r="I92" s="11" t="str">
        <x:v>p.5, power heat-source layout</x:v>
      </x:c>
      <x:c r="J92" s="11" t="str">
        <x:v>Reference power-board load.</x:v>
      </x:c>
      <x:c r="K92" s="11" t="str">
        <x:v>High</x:v>
      </x:c>
      <x:c r="L92" s="11" t="str">
        <x:v>No</x:v>
      </x:c>
      <x:c r="M92" s="11" t="str">
        <x:v>Do not scale</x:v>
      </x:c>
      <x:c r="N92" s="11" t="str"/>
      <x:c r="O92" s="11" t="str">
        <x:v>Pass</x:v>
      </x:c>
    </x:row>
    <x:row r="93" ht="62" customHeight="1">
      <x:c r="A93" s="15" t="str">
        <x:v>MP-089</x:v>
      </x:c>
      <x:c r="B93" s="11" t="str">
        <x:v>Power Reference</x:v>
      </x:c>
      <x:c r="C93" s="11" t="str">
        <x:v>Dixie D41 modeled heat load</x:v>
      </x:c>
      <x:c r="D93" s="11" t="n">
        <x:v>1</x:v>
      </x:c>
      <x:c r="E93" s="11" t="str">
        <x:v>TBD</x:v>
      </x:c>
      <x:c r="F93" s="11" t="str">
        <x:v>W</x:v>
      </x:c>
      <x:c r="G93" s="11" t="str">
        <x:v>Known</x:v>
      </x:c>
      <x:c r="H93" s="11" t="str">
        <x:v>DIXIE热仿真报告_TMV5_20240329.pdf</x:v>
      </x:c>
      <x:c r="I93" s="11" t="str">
        <x:v>p.5, power heat-source layout</x:v>
      </x:c>
      <x:c r="J93" s="11" t="str">
        <x:v>Reference power-board load.</x:v>
      </x:c>
      <x:c r="K93" s="11" t="str">
        <x:v>High</x:v>
      </x:c>
      <x:c r="L93" s="11" t="str">
        <x:v>No</x:v>
      </x:c>
      <x:c r="M93" s="11" t="str">
        <x:v>Do not scale</x:v>
      </x:c>
      <x:c r="N93" s="11" t="str"/>
      <x:c r="O93" s="11" t="str">
        <x:v>Pass</x:v>
      </x:c>
    </x:row>
    <x:row r="94" ht="62" customHeight="1">
      <x:c r="A94" s="15" t="str">
        <x:v>MP-090</x:v>
      </x:c>
      <x:c r="B94" s="11" t="str">
        <x:v>Power Reference</x:v>
      </x:c>
      <x:c r="C94" s="11" t="str">
        <x:v>Dixie D43 modeled heat load</x:v>
      </x:c>
      <x:c r="D94" s="11" t="n">
        <x:v>1</x:v>
      </x:c>
      <x:c r="E94" s="11" t="str">
        <x:v>TBD</x:v>
      </x:c>
      <x:c r="F94" s="11" t="str">
        <x:v>W</x:v>
      </x:c>
      <x:c r="G94" s="11" t="str">
        <x:v>Known</x:v>
      </x:c>
      <x:c r="H94" s="11" t="str">
        <x:v>DIXIE热仿真报告_TMV5_20240329.pdf</x:v>
      </x:c>
      <x:c r="I94" s="11" t="str">
        <x:v>p.5, power heat-source layout</x:v>
      </x:c>
      <x:c r="J94" s="11" t="str">
        <x:v>Reference power-board load.</x:v>
      </x:c>
      <x:c r="K94" s="11" t="str">
        <x:v>High</x:v>
      </x:c>
      <x:c r="L94" s="11" t="str">
        <x:v>No</x:v>
      </x:c>
      <x:c r="M94" s="11" t="str">
        <x:v>Do not scale</x:v>
      </x:c>
      <x:c r="N94" s="11" t="str"/>
      <x:c r="O94" s="11" t="str">
        <x:v>Pass</x:v>
      </x:c>
    </x:row>
    <x:row r="95" ht="62" customHeight="1">
      <x:c r="A95" s="15" t="str">
        <x:v>MP-091</x:v>
      </x:c>
      <x:c r="B95" s="11" t="str">
        <x:v>Power Reference</x:v>
      </x:c>
      <x:c r="C95" s="11" t="str">
        <x:v>Dixie LED / backlight modeled heat load</x:v>
      </x:c>
      <x:c r="D95" s="11" t="n">
        <x:v>122.4</x:v>
      </x:c>
      <x:c r="E95" s="11" t="str">
        <x:v>TBD from selected 32-inch panel / backlight</x:v>
      </x:c>
      <x:c r="F95" s="11" t="str">
        <x:v>W</x:v>
      </x:c>
      <x:c r="G95" s="11" t="str">
        <x:v>Known</x:v>
      </x:c>
      <x:c r="H95" s="11" t="str">
        <x:v>DIXIE热仿真报告_TMV5_20240329.pdf</x:v>
      </x:c>
      <x:c r="I95" s="11" t="str">
        <x:v>p.5, 0.85 W × 144 LEDs</x:v>
      </x:c>
      <x:c r="J95" s="11" t="str">
        <x:v>This dominates the reported Dixie load and must be independently re-derived for Hinoki.</x:v>
      </x:c>
      <x:c r="K95" s="11" t="str">
        <x:v>High</x:v>
      </x:c>
      <x:c r="L95" s="11" t="str">
        <x:v>No</x:v>
      </x:c>
      <x:c r="M95" s="11" t="str">
        <x:v>Do not scale</x:v>
      </x:c>
      <x:c r="N95" s="11" t="str"/>
      <x:c r="O95" s="11" t="str">
        <x:v>Pass</x:v>
      </x:c>
    </x:row>
    <x:row r="96" ht="62" customHeight="1">
      <x:c r="A96" s="15" t="str">
        <x:v>MP-092</x:v>
      </x:c>
      <x:c r="B96" s="11" t="str">
        <x:v>Power Reference</x:v>
      </x:c>
      <x:c r="C96" s="11" t="str">
        <x:v>Dixie total explicitly listed modeled heat load</x:v>
      </x:c>
      <x:c r="D96" s="11" t="n">
        <x:f>SUM(D86:D95)</x:f>
        <x:v>148.5</x:v>
      </x:c>
      <x:c r="E96" s="11" t="str">
        <x:v>TBD</x:v>
      </x:c>
      <x:c r="F96" s="11" t="str">
        <x:v>W</x:v>
      </x:c>
      <x:c r="G96" s="11" t="str">
        <x:v>Derived</x:v>
      </x:c>
      <x:c r="H96" s="11" t="str">
        <x:v>DIXIE热仿真报告_TMV5_20240329.pdf</x:v>
      </x:c>
      <x:c r="I96" s="11" t="str">
        <x:v>pp.4–5</x:v>
      </x:c>
      <x:c r="J96" s="11" t="str">
        <x:v>Sum U28, U43, PCB, BD1, BD2, Q40, Q42, D41, D43 and LED loads.</x:v>
      </x:c>
      <x:c r="K96" s="11" t="str">
        <x:v>Medium; assumes PCB 2 W is additive and no listed source is overlapping.</x:v>
      </x:c>
      <x:c r="L96" s="11" t="str">
        <x:v>No</x:v>
      </x:c>
      <x:c r="M96" s="11" t="str">
        <x:v>Do not scale</x:v>
      </x:c>
      <x:c r="N96" s="11" t="str"/>
      <x:c r="O96" s="11" t="str">
        <x:v>Open: confirm whether PCB 2 W overlaps named components</x:v>
      </x:c>
    </x:row>
    <x:row r="97" ht="62" customHeight="1">
      <x:c r="A97" s="15" t="str">
        <x:v>MP-093</x:v>
      </x:c>
      <x:c r="B97" s="11" t="str">
        <x:v>Thermal / Ventilation</x:v>
      </x:c>
      <x:c r="C97" s="11" t="str">
        <x:v>Dixie rear-housing upper and lower opening size</x:v>
      </x:c>
      <x:c r="D97" s="11" t="str">
        <x:v>&gt;600 × 20</x:v>
      </x:c>
      <x:c r="E97" s="11" t="str">
        <x:v>TBD by Hinoki natural-convection analysis</x:v>
      </x:c>
      <x:c r="F97" s="11" t="str">
        <x:v>mm</x:v>
      </x:c>
      <x:c r="G97" s="11" t="str">
        <x:v>Known</x:v>
      </x:c>
      <x:c r="H97" s="11" t="str">
        <x:v>DIXIE热仿真报告_TMV5_20240329.pdf</x:v>
      </x:c>
      <x:c r="I97" s="11" t="str">
        <x:v>p.6, enclosure openings</x:v>
      </x:c>
      <x:c r="J97" s="11" t="str">
        <x:v>Dixie passive-convection reference; dimensions cannot be scaled uniformly.</x:v>
      </x:c>
      <x:c r="K97" s="11" t="str">
        <x:v>High</x:v>
      </x:c>
      <x:c r="L97" s="11" t="str">
        <x:v>Yes</x:v>
      </x:c>
      <x:c r="M97" s="11" t="str">
        <x:v>Re-derive</x:v>
      </x:c>
      <x:c r="N97" s="11" t="str"/>
      <x:c r="O97" s="11" t="str">
        <x:v>Pass</x:v>
      </x:c>
    </x:row>
    <x:row r="98" ht="62" customHeight="1">
      <x:c r="A98" s="15" t="str">
        <x:v>MP-094</x:v>
      </x:c>
      <x:c r="B98" s="11" t="str">
        <x:v>Thermal / Ventilation</x:v>
      </x:c>
      <x:c r="C98" s="11" t="str">
        <x:v>Dixie vent open-area ratio</x:v>
      </x:c>
      <x:c r="D98" s="11" t="str">
        <x:v>&gt;55</x:v>
      </x:c>
      <x:c r="E98" s="11" t="str">
        <x:v>TBD by Hinoki thermal / acoustic / ingress requirements</x:v>
      </x:c>
      <x:c r="F98" s="11" t="str">
        <x:v>%</x:v>
      </x:c>
      <x:c r="G98" s="11" t="str">
        <x:v>Known</x:v>
      </x:c>
      <x:c r="H98" s="11" t="str">
        <x:v>DIXIE热仿真报告_TMV5_20240329.pdf</x:v>
      </x:c>
      <x:c r="I98" s="11" t="str">
        <x:v>p.6, enclosure openings</x:v>
      </x:c>
      <x:c r="J98" s="11" t="str">
        <x:v>Reference porosity only; Hinoki needs its own vent impedance and safety review.</x:v>
      </x:c>
      <x:c r="K98" s="11" t="str">
        <x:v>High</x:v>
      </x:c>
      <x:c r="L98" s="11" t="str">
        <x:v>Yes</x:v>
      </x:c>
      <x:c r="M98" s="11" t="str">
        <x:v>Re-derive</x:v>
      </x:c>
      <x:c r="N98" s="11" t="str"/>
      <x:c r="O98" s="11" t="str">
        <x:v>Pass</x:v>
      </x:c>
    </x:row>
    <x:row r="99" ht="62" customHeight="1">
      <x:c r="A99" s="15" t="str">
        <x:v>MP-095</x:v>
      </x:c>
      <x:c r="B99" s="11" t="str">
        <x:v>Thermal Architecture</x:v>
      </x:c>
      <x:c r="C99" s="11" t="str">
        <x:v>Dixie compute heat-spreading stack</x:v>
      </x:c>
      <x:c r="D99" s="11" t="str">
        <x:v>Heat sink + heat pipe + copper plate + thermal pads coupled to rear housing / mid-frame</x:v>
      </x:c>
      <x:c r="E99" s="11" t="str">
        <x:v>Provision equivalent conductive spreading path; exact stack TBD</x:v>
      </x:c>
      <x:c r="F99" s="11" t="str">
        <x:v>—</x:v>
      </x:c>
      <x:c r="G99" s="11" t="str">
        <x:v>Known</x:v>
      </x:c>
      <x:c r="H99" s="11" t="str">
        <x:v>DIXIE热仿真报告_TMV5_20240329.pdf</x:v>
      </x:c>
      <x:c r="I99" s="11" t="str">
        <x:v>pp.7–8, thermal solution 2</x:v>
      </x:c>
      <x:c r="J99" s="11" t="str">
        <x:v>Confirms the architecture behind MP-052 and provides a traceable CAD-feature stack.</x:v>
      </x:c>
      <x:c r="K99" s="11" t="str">
        <x:v>High</x:v>
      </x:c>
      <x:c r="L99" s="11" t="str">
        <x:v>Yes</x:v>
      </x:c>
      <x:c r="M99" s="11" t="str">
        <x:v>Preserve architecture</x:v>
      </x:c>
      <x:c r="N99" s="11" t="str"/>
      <x:c r="O99" s="11" t="str">
        <x:v>Pass</x:v>
      </x:c>
    </x:row>
    <x:row r="100" ht="62" customHeight="1">
      <x:c r="A100" s="15" t="str">
        <x:v>MP-096</x:v>
      </x:c>
      <x:c r="B100" s="11" t="str">
        <x:v>Thermal Result</x:v>
      </x:c>
      <x:c r="C100" s="11" t="str">
        <x:v>Dixie U28 case temperature Tc</x:v>
      </x:c>
      <x:c r="D100" s="11" t="str">
        <x:v>55.71 off / 64.72 on, normal gravity; 55.58 off / 58.99 on, reverse gravity</x:v>
      </x:c>
      <x:c r="E100" s="11" t="str">
        <x:v>TBD limit and result</x:v>
      </x:c>
      <x:c r="F100" s="11" t="str">
        <x:v>°C</x:v>
      </x:c>
      <x:c r="G100" s="11" t="str">
        <x:v>Known</x:v>
      </x:c>
      <x:c r="H100" s="11" t="str">
        <x:v>DIXIE热仿真报告_TMV5_20240329.pdf</x:v>
      </x:c>
      <x:c r="I100" s="11" t="str">
        <x:v>p.9, simulation-results table</x:v>
      </x:c>
      <x:c r="J100" s="11" t="str">
        <x:v>Power/LED off/on cases at the report's stated results-table ambient of 45°C.</x:v>
      </x:c>
      <x:c r="K100" s="11" t="str">
        <x:v>High; interpretation limited by 40/45°C ambient conflict.</x:v>
      </x:c>
      <x:c r="L100" s="11" t="str">
        <x:v>No</x:v>
      </x:c>
      <x:c r="M100" s="11" t="str">
        <x:v>Do not scale</x:v>
      </x:c>
      <x:c r="N100" s="11" t="str"/>
      <x:c r="O100" s="11" t="str">
        <x:v>Open: resolve simulation ambient discrepancy</x:v>
      </x:c>
    </x:row>
    <x:row r="101" ht="62" customHeight="1">
      <x:c r="A101" s="15" t="str">
        <x:v>MP-097</x:v>
      </x:c>
      <x:c r="B101" s="11" t="str">
        <x:v>Thermal Result</x:v>
      </x:c>
      <x:c r="C101" s="11" t="str">
        <x:v>Dixie U28 junction temperature Tj</x:v>
      </x:c>
      <x:c r="D101" s="11" t="str">
        <x:v>91.31 off / 101.89 on, normal gravity; 92.84 off / 96.76 on, reverse gravity</x:v>
      </x:c>
      <x:c r="E101" s="11" t="str">
        <x:v>TBD QC7790 junction limit and result</x:v>
      </x:c>
      <x:c r="F101" s="11" t="str">
        <x:v>°C</x:v>
      </x:c>
      <x:c r="G101" s="11" t="str">
        <x:v>Known</x:v>
      </x:c>
      <x:c r="H101" s="11" t="str">
        <x:v>DIXIE热仿真报告_TMV5_20240329.pdf</x:v>
      </x:c>
      <x:c r="I101" s="11" t="str">
        <x:v>p.9, simulation-results table</x:v>
      </x:c>
      <x:c r="J101" s="11" t="str">
        <x:v>Reference junction result only; QC7790 limits and power are different.</x:v>
      </x:c>
      <x:c r="K101" s="11" t="str">
        <x:v>High; interpretation limited by ambient conflict.</x:v>
      </x:c>
      <x:c r="L101" s="11" t="str">
        <x:v>No</x:v>
      </x:c>
      <x:c r="M101" s="11" t="str">
        <x:v>Do not scale</x:v>
      </x:c>
      <x:c r="N101" s="11" t="str"/>
      <x:c r="O101" s="11" t="str">
        <x:v>Open: resolve simulation ambient discrepancy</x:v>
      </x:c>
    </x:row>
    <x:row r="102" ht="62" customHeight="1">
      <x:c r="A102" s="15" t="str">
        <x:v>MP-098</x:v>
      </x:c>
      <x:c r="B102" s="11" t="str">
        <x:v>Thermal Result</x:v>
      </x:c>
      <x:c r="C102" s="11" t="str">
        <x:v>Dixie gravity and source-coupling sensitivity</x:v>
      </x:c>
      <x:c r="D102" s="11" t="str">
        <x:v>With power/LED on, reverse gravity lowers U28 about 5°C; enabling power/LED raises U28 Tc about 9°C in normal gravity</x:v>
      </x:c>
      <x:c r="E102" s="11" t="str">
        <x:v>Re-test for Hinoki stand tilt and orientation envelope</x:v>
      </x:c>
      <x:c r="F102" s="11" t="str">
        <x:v>°C delta</x:v>
      </x:c>
      <x:c r="G102" s="11" t="str">
        <x:v>Derived</x:v>
      </x:c>
      <x:c r="H102" s="11" t="str">
        <x:v>DIXIE热仿真报告_TMV5_20240329.pdf</x:v>
      </x:c>
      <x:c r="I102" s="11" t="str">
        <x:v>p.9, report conclusions</x:v>
      </x:c>
      <x:c r="J102" s="11" t="str">
        <x:v>Shows orientation and display/power heat coupling can materially affect compute temperature.</x:v>
      </x:c>
      <x:c r="K102" s="11" t="str">
        <x:v>High for report conclusion; not transferable numerically.</x:v>
      </x:c>
      <x:c r="L102" s="11" t="str">
        <x:v>Yes</x:v>
      </x:c>
      <x:c r="M102" s="11" t="str">
        <x:v>Re-derive</x:v>
      </x:c>
      <x:c r="N102" s="11" t="str"/>
      <x:c r="O102" s="11" t="str">
        <x:v>Pass</x:v>
      </x:c>
    </x:row>
    <x:row r="103" ht="62" customHeight="1">
      <x:c r="A103" s="15" t="str">
        <x:v>MP-099</x:v>
      </x:c>
      <x:c r="B103" s="11" t="str">
        <x:v>Thermal Result</x:v>
      </x:c>
      <x:c r="C103" s="11" t="str">
        <x:v>Dixie rear-housing reported surface-temperature sample range</x:v>
      </x:c>
      <x:c r="D103" s="11" t="str">
        <x:v>44.73–58.34</x:v>
      </x:c>
      <x:c r="E103" s="11" t="str">
        <x:v>TBD touch-temperature limits and result</x:v>
      </x:c>
      <x:c r="F103" s="11" t="str">
        <x:v>°C</x:v>
      </x:c>
      <x:c r="G103" s="11" t="str">
        <x:v>Known</x:v>
      </x:c>
      <x:c r="H103" s="11" t="str">
        <x:v>DIXIE热仿真报告_TMV5_20240329.pdf</x:v>
      </x:c>
      <x:c r="I103" s="11" t="str">
        <x:v>p.15, rear-housing surface temperature map</x:v>
      </x:c>
      <x:c r="J103" s="11" t="str">
        <x:v>Use as reference evidence that the enclosure participates in heat spreading; not a Hinoki target.</x:v>
      </x:c>
      <x:c r="K103" s="11" t="str">
        <x:v>Medium; sampled callouts, not global extrema.</x:v>
      </x:c>
      <x:c r="L103" s="11" t="str">
        <x:v>Yes</x:v>
      </x:c>
      <x:c r="M103" s="11" t="str">
        <x:v>Do not scale</x:v>
      </x:c>
      <x:c r="N103" s="11" t="str"/>
      <x:c r="O103" s="11" t="str">
        <x:v>Pass</x:v>
      </x:c>
    </x:row>
  </x:sheetData>
  <x:mergeCells>
    <x:mergeCell ref="A1:O1"/>
    <x:mergeCell ref="A2:O2"/>
  </x:mergeCells>
  <x:conditionalFormatting sqref="G5:G81">
    <x:cfRule type="containsText" dxfId="0" priority="1" operator="containsText" text="Known"/>
    <x:cfRule type="containsText" dxfId="1" priority="2" operator="containsText" text="Derived"/>
    <x:cfRule type="containsText" dxfId="2" priority="3" operator="containsText" text="Assumed"/>
    <x:cfRule type="containsText" dxfId="3" priority="4" operator="containsText" text="TBD"/>
  </x:conditionalFormatting>
  <x:conditionalFormatting sqref="O5:O81">
    <x:cfRule type="beginsWith" dxfId="4" priority="5" operator="beginsWith" text="Fail"/>
    <x:cfRule type="beginsWith" dxfId="5" priority="6" operator="beginsWith" text="Open"/>
  </x:conditionalFormatting>
  <x:conditionalFormatting sqref="G82:G103">
    <x:cfRule type="containsText" dxfId="8" priority="7" operator="containsText" text="Known"/>
    <x:cfRule type="containsText" dxfId="9" priority="8" operator="containsText" text="Derived"/>
    <x:cfRule type="containsText" dxfId="10" priority="9" operator="containsText" text="Assumed"/>
    <x:cfRule type="containsText" dxfId="11" priority="10" operator="containsText" text="TBD"/>
  </x:conditionalFormatting>
  <x:conditionalFormatting sqref="O82:O103">
    <x:cfRule type="beginsWith" dxfId="12" priority="11" operator="beginsWith" text="Fail"/>
    <x:cfRule type="beginsWith" dxfId="13" priority="12" operator="beginsWith" text="Open"/>
  </x:conditionalFormatting>
  <x:dataValidations count="4">
    <x:dataValidation type="list" sqref="L5:L81">
      <x:formula1>"Yes,No"</x:formula1>
    </x:dataValidation>
    <x:dataValidation type="list" sqref="G5:G81">
      <x:formula1>"Known,Derived,Assumed,TBD"</x:formula1>
    </x:dataValidation>
    <x:dataValidation type="list" sqref="L82:L103">
      <x:formula1>"Yes,No"</x:formula1>
    </x:dataValidation>
    <x:dataValidation type="list" sqref="G82:G103">
      <x:formula1>"Known,Derived,Assumed,TBD"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9cbb7e9751496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42" hidden="0" customWidth="1"/>
    <x:col min="4" max="4" width="14" hidden="0" customWidth="1"/>
    <x:col min="5" max="5" width="38" hidden="0" customWidth="1"/>
    <x:col min="6" max="6" width="30" hidden="0" customWidth="1"/>
    <x:col min="7" max="7" width="38" hidden="0" customWidth="1"/>
    <x:col min="8" max="8" width="42" hidden="0" customWidth="1"/>
    <x:col min="9" max="9" width="20" hidden="0" customWidth="1"/>
    <x:col min="10" max="10" width="14" hidden="0" customWidth="1"/>
    <x:col min="11" max="11" width="34" hidden="0" customWidth="1"/>
  </x:cols>
  <x:sheetData>
    <x:row r="1" ht="30" customHeight="1">
      <x:c r="A1" s="4" t="str">
        <x:v>Hinoki Assumption Log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4" customHeight="1">
      <x:c r="A2" s="8" t="str">
        <x:v>Every provisional assumption is open until its stated closure evidence is available; no assumed dimension is CAD-release authority.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4" ht="44" customHeight="1">
      <x:c r="A4" s="14" t="str">
        <x:v>Assumption ID</x:v>
      </x:c>
      <x:c r="B4" s="14" t="str">
        <x:v>Category</x:v>
      </x:c>
      <x:c r="C4" s="14" t="str">
        <x:v>Assumption / Provisional Value</x:v>
      </x:c>
      <x:c r="D4" s="14" t="str">
        <x:v>Units</x:v>
      </x:c>
      <x:c r="E4" s="14" t="str">
        <x:v>Why Needed</x:v>
      </x:c>
      <x:c r="F4" s="14" t="str">
        <x:v>Affected Master Parameters</x:v>
      </x:c>
      <x:c r="G4" s="14" t="str">
        <x:v>Impact if Wrong</x:v>
      </x:c>
      <x:c r="H4" s="14" t="str">
        <x:v>Validation / Closure Evidence</x:v>
      </x:c>
      <x:c r="I4" s="14" t="str">
        <x:v>Owner</x:v>
      </x:c>
      <x:c r="J4" s="14" t="str">
        <x:v>Status</x:v>
      </x:c>
      <x:c r="K4" s="14" t="str">
        <x:v>Confidence / Notes</x:v>
      </x:c>
    </x:row>
    <x:row r="5" ht="74" customHeight="1">
      <x:c r="A5" s="16" t="str">
        <x:v>A-001</x:v>
      </x:c>
      <x:c r="B5" s="11" t="str">
        <x:v>Panel</x:v>
      </x:c>
      <x:c r="C5" s="11" t="str">
        <x:v>Interpret ‘4K’ as UHD 3840 × 2160 rather than DCI 4096 × 2160</x:v>
      </x:c>
      <x:c r="D5" s="11" t="str">
        <x:v>pixels</x:v>
      </x:c>
      <x:c r="E5" s="11" t="str">
        <x:v>Needed to calculate pixel pitch and interface bandwidth.</x:v>
      </x:c>
      <x:c r="F5" s="11" t="str">
        <x:v>MP-003; MP-007</x:v>
      </x:c>
      <x:c r="G5" s="11" t="str">
        <x:v>Panel selection, timing and pixel pitch change.</x:v>
      </x:c>
      <x:c r="H5" s="11" t="str">
        <x:v>Approved PRD plus selected panel datasheet.</x:v>
      </x:c>
      <x:c r="I5" s="11" t="str">
        <x:v>Product / EE</x:v>
      </x:c>
      <x:c r="J5" s="11" t="str">
        <x:v>Open</x:v>
      </x:c>
      <x:c r="K5" s="11" t="str">
        <x:v>Medium</x:v>
      </x:c>
    </x:row>
    <x:row r="6" ht="74" customHeight="1">
      <x:c r="A6" s="16" t="str">
        <x:v>A-002</x:v>
      </x:c>
      <x:c r="B6" s="11" t="str">
        <x:v>Panel</x:v>
      </x:c>
      <x:c r="C6" s="11" t="str">
        <x:v>Use a 16:9 display aspect ratio</x:v>
      </x:c>
      <x:c r="D6" s="11" t="str">
        <x:v>ratio</x:v>
      </x:c>
      <x:c r="E6" s="11" t="str">
        <x:v>Needed to derive the 32-inch active-area width and height.</x:v>
      </x:c>
      <x:c r="F6" s="11" t="str">
        <x:v>MP-004–MP-007</x:v>
      </x:c>
      <x:c r="G6" s="11" t="str">
        <x:v>Active area, bezel, glass, housing and stand geometry change.</x:v>
      </x:c>
      <x:c r="H6" s="11" t="str">
        <x:v>Selected 32-inch panel datasheet.</x:v>
      </x:c>
      <x:c r="I6" s="11" t="str">
        <x:v>Product / Display EE</x:v>
      </x:c>
      <x:c r="J6" s="11" t="str">
        <x:v>Open</x:v>
      </x:c>
      <x:c r="K6" s="11" t="str">
        <x:v>Medium</x:v>
      </x:c>
    </x:row>
    <x:row r="7" ht="74" customHeight="1">
      <x:c r="A7" s="16" t="str">
        <x:v>A-003</x:v>
      </x:c>
      <x:c r="B7" s="11" t="str">
        <x:v>Camera / ID</x:v>
      </x:c>
      <x:c r="C7" s="11" t="str">
        <x:v>Locate the integrated camera at the top center of the display</x:v>
      </x:c>
      <x:c r="D7" s="11" t="str">
        <x:v>—</x:v>
      </x:c>
      <x:c r="E7" s="11" t="str">
        <x:v>Creates a concept datum for symmetric framing, shutter and front-light packaging.</x:v>
      </x:c>
      <x:c r="F7" s="11" t="str">
        <x:v>MP-023; MP-026; MP-045</x:v>
      </x:c>
      <x:c r="G7" s="11" t="str">
        <x:v>Industrial design, eye line, cable routing and optical occlusion change.</x:v>
      </x:c>
      <x:c r="H7" s="11" t="str">
        <x:v>ID concept approval plus camera framing study.</x:v>
      </x:c>
      <x:c r="I7" s="11" t="str">
        <x:v>ID / Camera</x:v>
      </x:c>
      <x:c r="J7" s="11" t="str">
        <x:v>Open</x:v>
      </x:c>
      <x:c r="K7" s="11" t="str">
        <x:v>Medium</x:v>
      </x:c>
    </x:row>
    <x:row r="8" ht="74" customHeight="1">
      <x:c r="A8" s="16" t="str">
        <x:v>A-004</x:v>
      </x:c>
      <x:c r="B8" s="11" t="str">
        <x:v>Thermal</x:v>
      </x:c>
      <x:c r="C8" s="11" t="str">
        <x:v>Preserve Dixie’s dual-path conduction concept from SOM to local spreader and metal chassis</x:v>
      </x:c>
      <x:c r="D8" s="11" t="str">
        <x:v>—</x:v>
      </x:c>
      <x:c r="E8" s="11" t="str">
        <x:v>Provides a starting architecture before QC7790 thermal design data and enclosure stack-up are available.</x:v>
      </x:c>
      <x:c r="F8" s="11" t="str">
        <x:v>MP-052–MP-055</x:v>
      </x:c>
      <x:c r="G8" s="11" t="str">
        <x:v>Chassis material, internal stack, service-hatch temperature and cost may change.</x:v>
      </x:c>
      <x:c r="H8" s="11" t="str">
        <x:v>QC7790 thermal design guide, CFD/thermal model and prototype test.</x:v>
      </x:c>
      <x:c r="I8" s="11" t="str">
        <x:v>Thermal / ME</x:v>
      </x:c>
      <x:c r="J8" s="11" t="str">
        <x:v>Open</x:v>
      </x:c>
      <x:c r="K8" s="11" t="str">
        <x:v>Medium</x:v>
      </x:c>
    </x:row>
    <x:row r="9" ht="74" customHeight="1">
      <x:c r="A9" s="16" t="str">
        <x:v>A-005</x:v>
      </x:c>
      <x:c r="B9" s="11" t="str">
        <x:v>Thermal / Acoustic</x:v>
      </x:c>
      <x:c r="C9" s="11" t="str">
        <x:v>Use passive-first cooling as the concept baseline</x:v>
      </x:c>
      <x:c r="D9" s="11" t="str">
        <x:v>—</x:v>
      </x:c>
      <x:c r="E9" s="11" t="str">
        <x:v>Focus-room product should minimize fan noise; no fan requirement was supplied.</x:v>
      </x:c>
      <x:c r="F9" s="11" t="str">
        <x:v>MP-057; MP-066; MP-074</x:v>
      </x:c>
      <x:c r="G9" s="11" t="str">
        <x:v>A fan, vent area or thicker chassis may be required.</x:v>
      </x:c>
      <x:c r="H9" s="11" t="str">
        <x:v>Worst-case thermal model and acoustic target review.</x:v>
      </x:c>
      <x:c r="I9" s="11" t="str">
        <x:v>Thermal / Product</x:v>
      </x:c>
      <x:c r="J9" s="11" t="str">
        <x:v>Open</x:v>
      </x:c>
      <x:c r="K9" s="11" t="str">
        <x:v>Low-to-medium</x:v>
      </x:c>
    </x:row>
    <x:row r="10" ht="74" customHeight="1">
      <x:c r="A10" s="16" t="str">
        <x:v>A-006</x:v>
      </x:c>
      <x:c r="B10" s="11" t="str">
        <x:v>Power</x:v>
      </x:c>
      <x:c r="C10" s="11" t="str">
        <x:v>Use 92% end-to-end USB-C PD efficiency at 90 W delivered power</x:v>
      </x:c>
      <x:c r="D10" s="11" t="str">
        <x:v>%</x:v>
      </x:c>
      <x:c r="E10" s="11" t="str">
        <x:v>Provides a provisional PD loss input while controller, topology, cables and copper path are undefined.</x:v>
      </x:c>
      <x:c r="F10" s="11" t="str">
        <x:v>MP-064; MP-065; MP-075</x:v>
      </x:c>
      <x:c r="G10" s="11" t="str">
        <x:v>At 90% loss is 10.0 W; at 95% loss is 4.7 W, materially changing local thermal design.</x:v>
      </x:c>
      <x:c r="H10" s="11" t="str">
        <x:v>Selected PD architecture loss analysis and 90 W thermal measurement.</x:v>
      </x:c>
      <x:c r="I10" s="11" t="str">
        <x:v>Power EE / Thermal</x:v>
      </x:c>
      <x:c r="J10" s="11" t="str">
        <x:v>Open</x:v>
      </x:c>
      <x:c r="K10" s="11" t="str">
        <x:v>Low-to-medium</x:v>
      </x:c>
    </x:row>
    <x:row r="11" ht="74" customHeight="1">
      <x:c r="A11" s="16" t="str">
        <x:v>A-007</x:v>
      </x:c>
      <x:c r="B11" s="11" t="str">
        <x:v>Sensor</x:v>
      </x:c>
      <x:c r="C11" s="11" t="str">
        <x:v>Reserve an ambient-light-sensor optical path even though applicability is not yet confirmed</x:v>
      </x:c>
      <x:c r="D11" s="11" t="str">
        <x:v>—</x:v>
      </x:c>
      <x:c r="E11" s="11" t="str">
        <x:v>Avoids blocking later auto-brightness implementation.</x:v>
      </x:c>
      <x:c r="F11" s="11" t="str">
        <x:v>MP-043; MP-044</x:v>
      </x:c>
      <x:c r="G11" s="11" t="str">
        <x:v>Bezel/window and sensor PCB may be removed or relocated.</x:v>
      </x:c>
      <x:c r="H11" s="11" t="str">
        <x:v>PRD decision and sensor selection.</x:v>
      </x:c>
      <x:c r="I11" s="11" t="str">
        <x:v>Product / EE / ID</x:v>
      </x:c>
      <x:c r="J11" s="11" t="str">
        <x:v>Open</x:v>
      </x:c>
      <x:c r="K11" s="11" t="str">
        <x:v>Medium</x:v>
      </x:c>
    </x:row>
    <x:row r="12" ht="74" customHeight="1">
      <x:c r="A12" s="16" t="str">
        <x:v>A-008</x:v>
      </x:c>
      <x:c r="B12" s="11" t="str">
        <x:v>Industrial Design</x:v>
      </x:c>
      <x:c r="C12" s="11" t="str">
        <x:v>Carry Dixie graphite/off-white family intent into Hinoki concept exploration</x:v>
      </x:c>
      <x:c r="D12" s="11" t="str">
        <x:v>—</x:v>
      </x:c>
      <x:c r="E12" s="11" t="str">
        <x:v>Preserves product-family design language without locking production CMF.</x:v>
      </x:c>
      <x:c r="F12" s="11" t="str">
        <x:v>MP-015; MP-016</x:v>
      </x:c>
      <x:c r="G12" s="11" t="str">
        <x:v>Material grade, texture, heat absorption and appearance may change.</x:v>
      </x:c>
      <x:c r="H12" s="11" t="str">
        <x:v>CMF approval and material qualification.</x:v>
      </x:c>
      <x:c r="I12" s="11" t="str">
        <x:v>ID / CMF</x:v>
      </x:c>
      <x:c r="J12" s="11" t="str">
        <x:v>Open</x:v>
      </x:c>
      <x:c r="K12" s="11" t="str">
        <x:v>Medium</x:v>
      </x:c>
    </x:row>
    <x:row r="13" ht="74" customHeight="1">
      <x:c r="A13" s="16" t="str">
        <x:v>A-009</x:v>
      </x:c>
      <x:c r="B13" s="11" t="str">
        <x:v>Serviceability</x:v>
      </x:c>
      <x:c r="C13" s="11" t="str">
        <x:v>Retain a user/service-accessible rear I/O zone and managed BYOD cable path</x:v>
      </x:c>
      <x:c r="D13" s="11" t="str">
        <x:v>—</x:v>
      </x:c>
      <x:c r="E13" s="11" t="str">
        <x:v>Dixie architecture shows hatches, covers and an interface rail; desktop use needs reachable, tidy connections.</x:v>
      </x:c>
      <x:c r="F13" s="11" t="str">
        <x:v>MP-039</x:v>
      </x:c>
      <x:c r="G13" s="11" t="str">
        <x:v>Housing split, port PCB placement and stand cable routing change.</x:v>
      </x:c>
      <x:c r="H13" s="11" t="str">
        <x:v>Use-case mockup and serviceability review.</x:v>
      </x:c>
      <x:c r="I13" s="11" t="str">
        <x:v>ME / ID / EE</x:v>
      </x:c>
      <x:c r="J13" s="11" t="str">
        <x:v>Open</x:v>
      </x:c>
      <x:c r="K13" s="11" t="str">
        <x:v>Medium</x:v>
      </x:c>
    </x:row>
    <x:row r="14" ht="74" customHeight="1">
      <x:c r="A14" s="16" t="str">
        <x:v>A-010</x:v>
      </x:c>
      <x:c r="B14" s="11" t="str">
        <x:v>Mounting</x:v>
      </x:c>
      <x:c r="C14" s="11" t="str">
        <x:v>Evaluate 100 × 100 mm VESA as the initial candidate, without committing CAD</x:v>
      </x:c>
      <x:c r="D14" s="11" t="str">
        <x:v>mm</x:v>
      </x:c>
      <x:c r="E14" s="11" t="str">
        <x:v>Common candidate for 32-inch displays; supplied Dixie plate envelope does not establish its hole pitch.</x:v>
      </x:c>
      <x:c r="F14" s="11" t="str">
        <x:v>MP-047–MP-051</x:v>
      </x:c>
      <x:c r="G14" s="11" t="str">
        <x:v>Adapter, stand interface and rear-housing reinforcement change.</x:v>
      </x:c>
      <x:c r="H14" s="11" t="str">
        <x:v>Selected panel/chassis mass, applicable VESA standard and stand supplier confirmation.</x:v>
      </x:c>
      <x:c r="I14" s="11" t="str">
        <x:v>ME / Product</x:v>
      </x:c>
      <x:c r="J14" s="11" t="str">
        <x:v>Open</x:v>
      </x:c>
      <x:c r="K14" s="11" t="str">
        <x:v>Low; do not release CAD from this assumption</x:v>
      </x:c>
    </x:row>
    <x:row r="15" ht="74" customHeight="1">
      <x:c r="A15" s="16" t="str">
        <x:v>A-011</x:v>
      </x:c>
      <x:c r="B15" s="11" t="str">
        <x:v>Front Lighting</x:v>
      </x:c>
      <x:c r="C15" s="11" t="str">
        <x:v>Treat front lighting as video-fill lighting integrated near the camera, not decorative status lighting</x:v>
      </x:c>
      <x:c r="D15" s="11" t="str">
        <x:v>—</x:v>
      </x:c>
      <x:c r="E15" s="11" t="str">
        <x:v>The prompt requires a front lighting solution but gives no photometric definition.</x:v>
      </x:c>
      <x:c r="F15" s="11" t="str">
        <x:v>MP-045; MP-046; MP-073</x:v>
      </x:c>
      <x:c r="G15" s="11" t="str">
        <x:v>Optics, glare, eye safety, power and thermal loads may differ substantially.</x:v>
      </x:c>
      <x:c r="H15" s="11" t="str">
        <x:v>Product lighting requirement: illuminance, distance, CCT, CRI, uniformity and eye-safety limits.</x:v>
      </x:c>
      <x:c r="I15" s="11" t="str">
        <x:v>Product / OE / ID</x:v>
      </x:c>
      <x:c r="J15" s="11" t="str">
        <x:v>Open</x:v>
      </x:c>
      <x:c r="K15" s="11" t="str">
        <x:v>Low-to-medium</x:v>
      </x:c>
    </x:row>
    <x:row r="16" ht="74" customHeight="1">
      <x:c r="A16" s="16" t="str">
        <x:v>A-012</x:v>
      </x:c>
      <x:c r="B16" s="11" t="str">
        <x:v>Power</x:v>
      </x:c>
      <x:c r="C16" s="11" t="str">
        <x:v>For the named BYOD scenario, model 90 W as power delivered at the laptop port; any &gt;90 W product capability is a separate maximum-rating case</x:v>
      </x:c>
      <x:c r="D16" s="11" t="str">
        <x:v>W</x:v>
      </x:c>
      <x:c r="E16" s="11" t="str">
        <x:v>Keeps the scenario definition stable while preserving the ≥90 W requirement.</x:v>
      </x:c>
      <x:c r="F16" s="11" t="str">
        <x:v>MP-036; MP-063–MP-065</x:v>
      </x:c>
      <x:c r="G16" s="11" t="str">
        <x:v>Input supply sizing changes if the scenario is later raised above 90 W.</x:v>
      </x:c>
      <x:c r="H16" s="11" t="str">
        <x:v>Power PRD defines advertised PD profile and scenario test point.</x:v>
      </x:c>
      <x:c r="I16" s="11" t="str">
        <x:v>Power EE / Product</x:v>
      </x:c>
      <x:c r="J16" s="11" t="str">
        <x:v>Open</x:v>
      </x:c>
      <x:c r="K16" s="11" t="str">
        <x:v>High for model bookkeeping; rating still TBD</x:v>
      </x:c>
    </x:row>
    <x:row r="17" ht="50" customHeight="1">
      <x:c r="A17" s="20" t="str">
        <x:v>A-013</x:v>
      </x:c>
      <x:c r="B17" s="20" t="str">
        <x:v>Architecture</x:v>
      </x:c>
      <x:c r="C17" s="20" t="str">
        <x:v>Use a 760 W × 540 H × 80 D mm Hinoki head concept envelope</x:v>
      </x:c>
      <x:c r="D17" s="20" t="str">
        <x:v>mm</x:v>
      </x:c>
      <x:c r="E17" s="20" t="str">
        <x:v>Defines a contained package boundary before CAD.</x:v>
      </x:c>
      <x:c r="F17" s="20" t="str">
        <x:v>MP-001; MP-002; MP-077</x:v>
      </x:c>
      <x:c r="G17" s="20" t="str">
        <x:v>External dimensions, display fit, component layout and stand load change.</x:v>
      </x:c>
      <x:c r="H17" s="20" t="str">
        <x:v>Selected panel, mass model, industrial-design approval and CAD review.</x:v>
      </x:c>
      <x:c r="I17" s="20" t="str">
        <x:v>ME / ID</x:v>
      </x:c>
      <x:c r="J17" s="21" t="str">
        <x:v>Open</x:v>
      </x:c>
      <x:c r="K17" s="20" t="str">
        <x:v>Low-to-medium; concept space claim only, not CAD release authority.</x:v>
      </x:c>
    </x:row>
    <x:row r="18" ht="50" customHeight="1">
      <x:c r="A18" s="22" t="str">
        <x:v>A-014</x:v>
      </x:c>
      <x:c r="B18" s="22" t="str">
        <x:v>Panel</x:v>
      </x:c>
      <x:c r="C18" s="22" t="str">
        <x:v>Use a 730 W × 420 H × 18 D mm display/touch stack reservation</x:v>
      </x:c>
      <x:c r="D18" s="22" t="str">
        <x:v>mm</x:v>
      </x:c>
      <x:c r="E18" s="22" t="str">
        <x:v>Reserves selected 32-inch panel, touch, cover lens and local tolerance space.</x:v>
      </x:c>
      <x:c r="F18" s="22" t="str">
        <x:v>MP-003–MP-010</x:v>
      </x:c>
      <x:c r="G18" s="22" t="str">
        <x:v>Bezel, front housing, panel mount and thermal path change.</x:v>
      </x:c>
      <x:c r="H18" s="22" t="str">
        <x:v>Selected panel drawing, stack-up and mass data.</x:v>
      </x:c>
      <x:c r="I18" s="22" t="str">
        <x:v>Display EE / ME</x:v>
      </x:c>
      <x:c r="J18" s="21" t="str">
        <x:v>Open</x:v>
      </x:c>
      <x:c r="K18" s="22" t="str">
        <x:v>Medium; packaging reservation only.</x:v>
      </x:c>
    </x:row>
    <x:row r="19" ht="50" customHeight="1">
      <x:c r="A19" s="20" t="str">
        <x:v>A-015</x:v>
      </x:c>
      <x:c r="B19" s="20" t="str">
        <x:v>AV / Acoustic</x:v>
      </x:c>
      <x:c r="C19" s="20" t="str">
        <x:v>Reserve an 85 mm-high upper AV/acoustic bar</x:v>
      </x:c>
      <x:c r="D19" s="20" t="str">
        <x:v>mm</x:v>
      </x:c>
      <x:c r="E19" s="20" t="str">
        <x:v>Packages top camera, shutter, speakers, microphones, lighting and sensors.</x:v>
      </x:c>
      <x:c r="F19" s="20" t="str">
        <x:v>MP-020–MP-026; MP-030; MP-045</x:v>
      </x:c>
      <x:c r="G19" s="20" t="str">
        <x:v>Top bezel, camera FOV, speaker volume and acoustic performance change.</x:v>
      </x:c>
      <x:c r="H19" s="20" t="str">
        <x:v>ID layout, selected components and acoustic review.</x:v>
      </x:c>
      <x:c r="I19" s="20" t="str">
        <x:v>ID / Audio / ME</x:v>
      </x:c>
      <x:c r="J19" s="21" t="str">
        <x:v>Open</x:v>
      </x:c>
      <x:c r="K19" s="20" t="str">
        <x:v>Medium; geometry reservation only.</x:v>
      </x:c>
    </x:row>
    <x:row r="20" ht="50" customHeight="1">
      <x:c r="A20" s="22" t="str">
        <x:v>A-016</x:v>
      </x:c>
      <x:c r="B20" s="22" t="str">
        <x:v>Camera</x:v>
      </x:c>
      <x:c r="C20" s="22" t="str">
        <x:v>Use a 120 × 55 × 42 mm camera plus captive-shutter package</x:v>
      </x:c>
      <x:c r="D20" s="22" t="str">
        <x:v>mm</x:v>
      </x:c>
      <x:c r="E20" s="22" t="str">
        <x:v>Reserves integration volume before lens, sensor and shutter are selected.</x:v>
      </x:c>
      <x:c r="F20" s="22" t="str">
        <x:v>MP-020–MP-025</x:v>
      </x:c>
      <x:c r="G20" s="22" t="str">
        <x:v>FOV, shutter travel, top-bar structure and front aperture change.</x:v>
      </x:c>
      <x:c r="H20" s="22" t="str">
        <x:v>Camera/shutter supplier drawing and 140° ray study.</x:v>
      </x:c>
      <x:c r="I20" s="22" t="str">
        <x:v>Camera / ME</x:v>
      </x:c>
      <x:c r="J20" s="21" t="str">
        <x:v>Open</x:v>
      </x:c>
      <x:c r="K20" s="22" t="str">
        <x:v>Low-to-medium; must not constrain final optical selection.</x:v>
      </x:c>
    </x:row>
    <x:row r="21" ht="50" customHeight="1">
      <x:c r="A21" s="20" t="str">
        <x:v>A-017</x:v>
      </x:c>
      <x:c r="B21" s="20" t="str">
        <x:v>Audio</x:v>
      </x:c>
      <x:c r="C21" s="20" t="str">
        <x:v>Use two upper speaker enclosure reservations, each 170 × 55 × 40 mm</x:v>
      </x:c>
      <x:c r="D21" s="20" t="str">
        <x:v>mm</x:v>
      </x:c>
      <x:c r="E21" s="20" t="str">
        <x:v>Protects a credible left/right acoustic volume in the upper bar.</x:v>
      </x:c>
      <x:c r="F21" s="20" t="str">
        <x:v>MP-030; MP-045</x:v>
      </x:c>
      <x:c r="G21" s="20" t="str">
        <x:v>Audio SPL, volume, grille, microphone isolation and bar geometry change.</x:v>
      </x:c>
      <x:c r="H21" s="20" t="str">
        <x:v>Speaker-driver data, acoustic simulation and prototype test.</x:v>
      </x:c>
      <x:c r="I21" s="20" t="str">
        <x:v>Audio / ME</x:v>
      </x:c>
      <x:c r="J21" s="21" t="str">
        <x:v>Open</x:v>
      </x:c>
      <x:c r="K21" s="20" t="str">
        <x:v>Low-to-medium; driver selection remains open.</x:v>
      </x:c>
    </x:row>
    <x:row r="22" ht="50" customHeight="1">
      <x:c r="A22" s="22" t="str">
        <x:v>A-018</x:v>
      </x:c>
      <x:c r="B22" s="22" t="str">
        <x:v>Lighting</x:v>
      </x:c>
      <x:c r="C22" s="22" t="str">
        <x:v>Use two front-light module reservations, each 55 × 12 × 15 mm</x:v>
      </x:c>
      <x:c r="D22" s="22" t="str">
        <x:v>mm</x:v>
      </x:c>
      <x:c r="E22" s="22" t="str">
        <x:v>Places video-fill lighting beside the camera without entering its FOV.</x:v>
      </x:c>
      <x:c r="F22" s="22" t="str">
        <x:v>MP-045; MP-046</x:v>
      </x:c>
      <x:c r="G22" s="22" t="str">
        <x:v>Optics, eye safety, glare, thermal load and camera clearance change.</x:v>
      </x:c>
      <x:c r="H22" s="22" t="str">
        <x:v>Lighting requirements and selected module drawing.</x:v>
      </x:c>
      <x:c r="I22" s="22" t="str">
        <x:v>OE / ID / ME</x:v>
      </x:c>
      <x:c r="J22" s="21" t="str">
        <x:v>Open</x:v>
      </x:c>
      <x:c r="K22" s="22" t="str">
        <x:v>Low; package and performance are provisional.</x:v>
      </x:c>
    </x:row>
    <x:row r="23" ht="50" customHeight="1">
      <x:c r="A23" s="20" t="str">
        <x:v>A-019</x:v>
      </x:c>
      <x:c r="B23" s="20" t="str">
        <x:v>Compute</x:v>
      </x:c>
      <x:c r="C23" s="20" t="str">
        <x:v>Use a 200 × 120 × 32 mm QC7790 SOM plus local-spreader reservation</x:v>
      </x:c>
      <x:c r="D23" s="20" t="str">
        <x:v>mm</x:v>
      </x:c>
      <x:c r="E23" s="20" t="str">
        <x:v>Claims central compute and conduction-path space before SOM and heatsink data are available.</x:v>
      </x:c>
      <x:c r="F23" s="20" t="str">
        <x:v>MP-027; MP-052–MP-055</x:v>
      </x:c>
      <x:c r="G23" s="20" t="str">
        <x:v>PCB layout, thermal solution, VESA stack and rear cover change.</x:v>
      </x:c>
      <x:c r="H23" s="20" t="str">
        <x:v>QC7790 SOM drawing, thermal guide and prototype thermal test.</x:v>
      </x:c>
      <x:c r="I23" s="20" t="str">
        <x:v>EE / Thermal / ME</x:v>
      </x:c>
      <x:c r="J23" s="21" t="str">
        <x:v>Open</x:v>
      </x:c>
      <x:c r="K23" s="20" t="str">
        <x:v>Low-to-medium; includes local thermal stack allowance.</x:v>
      </x:c>
    </x:row>
    <x:row r="24" ht="50" customHeight="1">
      <x:c r="A24" s="22" t="str">
        <x:v>A-020</x:v>
      </x:c>
      <x:c r="B24" s="22" t="str">
        <x:v>Interface</x:v>
      </x:c>
      <x:c r="C24" s="22" t="str">
        <x:v>Use a 120 × 75 × 24 mm head USB-C interface/protection-board reservation</x:v>
      </x:c>
      <x:c r="D24" s="22" t="str">
        <x:v>mm</x:v>
      </x:c>
      <x:c r="E24" s="22" t="str">
        <x:v>Keeps high-current head wiring short while PD bulk power remains in the base.</x:v>
      </x:c>
      <x:c r="F24" s="22" t="str">
        <x:v>MP-035; MP-036</x:v>
      </x:c>
      <x:c r="G24" s="22" t="str">
        <x:v>Port access, thermal isolation, cable routing and PCB design change.</x:v>
      </x:c>
      <x:c r="H24" s="22" t="str">
        <x:v>USB-C controller, connector and cable drawings.</x:v>
      </x:c>
      <x:c r="I24" s="22" t="str">
        <x:v>Power EE / ME</x:v>
      </x:c>
      <x:c r="J24" s="21" t="str">
        <x:v>Open</x:v>
      </x:c>
      <x:c r="K24" s="22" t="str">
        <x:v>Low-to-medium; not the base PD-stage envelope.</x:v>
      </x:c>
    </x:row>
    <x:row r="25" ht="50" customHeight="1">
      <x:c r="A25" s="20" t="str">
        <x:v>A-021</x:v>
      </x:c>
      <x:c r="B25" s="20" t="str">
        <x:v>Interface</x:v>
      </x:c>
      <x:c r="C25" s="20" t="str">
        <x:v>Use a 220 × 60 × 24 mm rear I/O-board reservation</x:v>
      </x:c>
      <x:c r="D25" s="20" t="str">
        <x:v>mm</x:v>
      </x:c>
      <x:c r="E25" s="20" t="str">
        <x:v>Packages HDMI input, Ethernet, audio-out and rear-service I/O.</x:v>
      </x:c>
      <x:c r="F25" s="20" t="str">
        <x:v>MP-033–MP-038</x:v>
      </x:c>
      <x:c r="G25" s="20" t="str">
        <x:v>Port cut-outs, service access and cable routing change.</x:v>
      </x:c>
      <x:c r="H25" s="20" t="str">
        <x:v>Connector models, board outline and service review.</x:v>
      </x:c>
      <x:c r="I25" s="20" t="str">
        <x:v>EE / ME</x:v>
      </x:c>
      <x:c r="J25" s="21" t="str">
        <x:v>Open</x:v>
      </x:c>
      <x:c r="K25" s="20" t="str">
        <x:v>Medium; user-port locations remain open.</x:v>
      </x:c>
    </x:row>
    <x:row r="26" ht="50" customHeight="1">
      <x:c r="A26" s="22" t="str">
        <x:v>A-022</x:v>
      </x:c>
      <x:c r="B26" s="22" t="str">
        <x:v>Mounting</x:v>
      </x:c>
      <x:c r="C26" s="22" t="str">
        <x:v>Use a 180 × 180 × 18 mm VESA-reinforcement reservation</x:v>
      </x:c>
      <x:c r="D26" s="22" t="str">
        <x:v>mm</x:v>
      </x:c>
      <x:c r="E26" s="22" t="str">
        <x:v>Claims the central reinforcement around the A-010 100 × 100 mm VESA candidate.</x:v>
      </x:c>
      <x:c r="F26" s="22" t="str">
        <x:v>MP-047–MP-051</x:v>
      </x:c>
      <x:c r="G26" s="22" t="str">
        <x:v>Stand interface, rear cover, SOM separation and structural load path change.</x:v>
      </x:c>
      <x:c r="H26" s="22" t="str">
        <x:v>VESA selection, stand load case and FEA.</x:v>
      </x:c>
      <x:c r="I26" s="22" t="str">
        <x:v>ME / Product</x:v>
      </x:c>
      <x:c r="J26" s="21" t="str">
        <x:v>Open</x:v>
      </x:c>
      <x:c r="K26" s="22" t="str">
        <x:v>Low; 100 × 100 mm remains an unconfirmed candidate.</x:v>
      </x:c>
    </x:row>
    <x:row r="27" ht="50" customHeight="1">
      <x:c r="A27" s="20" t="str">
        <x:v>A-023</x:v>
      </x:c>
      <x:c r="B27" s="20" t="str">
        <x:v>PCB</x:v>
      </x:c>
      <x:c r="C27" s="20" t="str">
        <x:v>Use a 260 × 100 × 15 mm main-PCB reservation</x:v>
      </x:c>
      <x:c r="D27" s="20" t="str">
        <x:v>mm</x:v>
      </x:c>
      <x:c r="E27" s="20" t="str">
        <x:v>Provides a named package volume for carrier electronics and power-to-CAD mapping.</x:v>
      </x:c>
      <x:c r="F27" s="20" t="str">
        <x:v>MP-027; MP-033–MP-042</x:v>
      </x:c>
      <x:c r="G27" s="20" t="str">
        <x:v>Connector layout, thermal density and service clearance change.</x:v>
      </x:c>
      <x:c r="H27" s="20" t="str">
        <x:v>Carrier-board outline and connector stack-up.</x:v>
      </x:c>
      <x:c r="I27" s="20" t="str">
        <x:v>EE / ME</x:v>
      </x:c>
      <x:c r="J27" s="21" t="str">
        <x:v>Open</x:v>
      </x:c>
      <x:c r="K27" s="20" t="str">
        <x:v>Low; preliminary envelope only.</x:v>
      </x:c>
    </x:row>
    <x:row r="28" ht="50" customHeight="1">
      <x:c r="A28" s="22" t="str">
        <x:v>A-024</x:v>
      </x:c>
      <x:c r="B28" s="22" t="str">
        <x:v>Sensor</x:v>
      </x:c>
      <x:c r="C28" s="22" t="str">
        <x:v>Use an 80 × 20 × 10 mm radar module and field-path reservation</x:v>
      </x:c>
      <x:c r="D28" s="22" t="str">
        <x:v>mm</x:v>
      </x:c>
      <x:c r="E28" s="22" t="str">
        <x:v>Reserves separate front/upper radar packaging and an unobstructed field path.</x:v>
      </x:c>
      <x:c r="F28" s="22" t="str">
        <x:v>MP-042</x:v>
      </x:c>
      <x:c r="G28" s="22" t="str">
        <x:v>Radar range, bezel material and AV-bar layout change.</x:v>
      </x:c>
      <x:c r="H28" s="22" t="str">
        <x:v>Radar supplier drawing and field-of-view validation.</x:v>
      </x:c>
      <x:c r="I28" s="22" t="str">
        <x:v>Sensor EE / ME</x:v>
      </x:c>
      <x:c r="J28" s="21" t="str">
        <x:v>Open</x:v>
      </x:c>
      <x:c r="K28" s="22" t="str">
        <x:v>Low; module and field angle are not selected.</x:v>
      </x:c>
    </x:row>
    <x:row r="29" ht="50" customHeight="1">
      <x:c r="A29" s="20" t="str">
        <x:v>A-025</x:v>
      </x:c>
      <x:c r="B29" s="20" t="str">
        <x:v>Sensor</x:v>
      </x:c>
      <x:c r="C29" s="20" t="str">
        <x:v>Use a 20 × 20 × 10 mm ambient-light-sensor optical-path reservation</x:v>
      </x:c>
      <x:c r="D29" s="20" t="str">
        <x:v>mm</x:v>
      </x:c>
      <x:c r="E29" s="20" t="str">
        <x:v>Preserves the conditional sensor option without blocking its optical window.</x:v>
      </x:c>
      <x:c r="F29" s="20" t="str">
        <x:v>MP-043; MP-044</x:v>
      </x:c>
      <x:c r="G29" s="20" t="str">
        <x:v>Bezel/window, lighting placement and front optical path change.</x:v>
      </x:c>
      <x:c r="H29" s="20" t="str">
        <x:v>PRD decision and sensor drawing.</x:v>
      </x:c>
      <x:c r="I29" s="20" t="str">
        <x:v>Sensor EE / ID</x:v>
      </x:c>
      <x:c r="J29" s="21" t="str">
        <x:v>Open</x:v>
      </x:c>
      <x:c r="K29" s="20" t="str">
        <x:v>Low; conditional requirement.</x:v>
      </x:c>
    </x:row>
    <x:row r="30" ht="50" customHeight="1">
      <x:c r="A30" s="22" t="str">
        <x:v>A-026</x:v>
      </x:c>
      <x:c r="B30" s="22" t="str">
        <x:v>Audio</x:v>
      </x:c>
      <x:c r="C30" s="22" t="str">
        <x:v>Use two microphone-region reservations, each 20 × 15 × 12 mm</x:v>
      </x:c>
      <x:c r="D30" s="22" t="str">
        <x:v>mm</x:v>
      </x:c>
      <x:c r="E30" s="22" t="str">
        <x:v>Keeps outer upper-bar microphone paths independent of camera, speakers and lighting.</x:v>
      </x:c>
      <x:c r="F30" s="22" t="str">
        <x:v>MP-030</x:v>
      </x:c>
      <x:c r="G30" s="22" t="str">
        <x:v>Acoustic ports, microphone count and sealing change.</x:v>
      </x:c>
      <x:c r="H30" s="22" t="str">
        <x:v>Microphone-array design and acoustic validation.</x:v>
      </x:c>
      <x:c r="I30" s="22" t="str">
        <x:v>Audio / ME</x:v>
      </x:c>
      <x:c r="J30" s="21" t="str">
        <x:v>Open</x:v>
      </x:c>
      <x:c r="K30" s="22" t="str">
        <x:v>Low; array configuration is not selected.</x:v>
      </x:c>
    </x:row>
    <x:row r="31" ht="50" customHeight="1">
      <x:c r="A31" s="20" t="str">
        <x:v>A-027</x:v>
      </x:c>
      <x:c r="B31" s="20" t="str">
        <x:v>Connectivity</x:v>
      </x:c>
      <x:c r="C31" s="20" t="str">
        <x:v>Use two Wi-Fi/BLE antenna keep-outs, each 60 × 15 × 8 mm</x:v>
      </x:c>
      <x:c r="D31" s="20" t="str">
        <x:v>mm</x:v>
      </x:c>
      <x:c r="E31" s="20" t="str">
        <x:v>Preserves RF space away from speaker, camera and central metal thermal structure.</x:v>
      </x:c>
      <x:c r="F31" s="20" t="str">
        <x:v>MP-040; MP-041</x:v>
      </x:c>
      <x:c r="G31" s="20" t="str">
        <x:v>RF performance and mechanical layout change.</x:v>
      </x:c>
      <x:c r="H31" s="20" t="str">
        <x:v>Antenna design, RF simulation and test.</x:v>
      </x:c>
      <x:c r="I31" s="20" t="str">
        <x:v>RF / ME</x:v>
      </x:c>
      <x:c r="J31" s="21" t="str">
        <x:v>Open</x:v>
      </x:c>
      <x:c r="K31" s="20" t="str">
        <x:v>Low; antenna technology not selected.</x:v>
      </x:c>
    </x:row>
    <x:row r="32" ht="50" customHeight="1">
      <x:c r="A32" s="22" t="str">
        <x:v>A-028</x:v>
      </x:c>
      <x:c r="B32" s="22" t="str">
        <x:v>Thermal</x:v>
      </x:c>
      <x:c r="C32" s="22" t="str">
        <x:v>Reserve upper and lower vent paths, each 400 × 20 × 10 mm</x:v>
      </x:c>
      <x:c r="D32" s="22" t="str">
        <x:v>mm</x:v>
      </x:c>
      <x:c r="E32" s="22" t="str">
        <x:v>Keeps a passive-first convection path before airflow analysis.</x:v>
      </x:c>
      <x:c r="F32" s="22" t="str">
        <x:v>MP-093–MP-095</x:v>
      </x:c>
      <x:c r="G32" s="22" t="str">
        <x:v>Rear cover, acoustic leakage, thermal performance and safety change.</x:v>
      </x:c>
      <x:c r="H32" s="22" t="str">
        <x:v>CFD, acoustic and ingress review.</x:v>
      </x:c>
      <x:c r="I32" s="22" t="str">
        <x:v>Thermal / ME</x:v>
      </x:c>
      <x:c r="J32" s="21" t="str">
        <x:v>Open</x:v>
      </x:c>
      <x:c r="K32" s="22" t="str">
        <x:v>Low; vent geometry is not released.</x:v>
      </x:c>
    </x:row>
    <x:row r="33" ht="50" customHeight="1">
      <x:c r="A33" s="20" t="str">
        <x:v>A-029</x:v>
      </x:c>
      <x:c r="B33" s="20" t="str">
        <x:v>Serviceability</x:v>
      </x:c>
      <x:c r="C33" s="20" t="str">
        <x:v>Use a 120 × 75 × 40 mm USB-C cable and service sweep keep-out</x:v>
      </x:c>
      <x:c r="D33" s="20" t="str">
        <x:v>mm</x:v>
      </x:c>
      <x:c r="E33" s="20" t="str">
        <x:v>Reserves removable-cable and service access around the user-facing USB-C region.</x:v>
      </x:c>
      <x:c r="F33" s="20" t="str">
        <x:v>MP-035; MP-036; MP-039</x:v>
      </x:c>
      <x:c r="G33" s="20" t="str">
        <x:v>Port access, cable bend, rear cover and stand routing change.</x:v>
      </x:c>
      <x:c r="H33" s="20" t="str">
        <x:v>Selected cable bend radius and service mock-up.</x:v>
      </x:c>
      <x:c r="I33" s="20" t="str">
        <x:v>ME / ID</x:v>
      </x:c>
      <x:c r="J33" s="21" t="str">
        <x:v>Open</x:v>
      </x:c>
      <x:c r="K33" s="20" t="str">
        <x:v>Low; cable definition is open.</x:v>
      </x:c>
    </x:row>
    <x:row r="34" ht="50" customHeight="1">
      <x:c r="A34" s="22" t="str">
        <x:v>A-030</x:v>
      </x:c>
      <x:c r="B34" s="22" t="str">
        <x:v>Power</x:v>
      </x:c>
      <x:c r="C34" s="22" t="str">
        <x:v>Use a 360 × 260 × 90 mm desktop-base AC/DC and bulk-PD package reservation</x:v>
      </x:c>
      <x:c r="D34" s="22" t="str">
        <x:v>mm</x:v>
      </x:c>
      <x:c r="E34" s="22" t="str">
        <x:v>Locates base heat, ballast and cable storage outside the head.</x:v>
      </x:c>
      <x:c r="F34" s="22" t="str">
        <x:v>MP-036; MP-063–MP-065</x:v>
      </x:c>
      <x:c r="G34" s="22" t="str">
        <x:v>Stand size, stability, base thermal design and supply rating change.</x:v>
      </x:c>
      <x:c r="H34" s="22" t="str">
        <x:v>Power architecture, mass model and stand concept review.</x:v>
      </x:c>
      <x:c r="I34" s="22" t="str">
        <x:v>Power EE / ME</x:v>
      </x:c>
      <x:c r="J34" s="21" t="str">
        <x:v>Open</x:v>
      </x:c>
      <x:c r="K34" s="22" t="str">
        <x:v>Low; base envelope is conceptual.</x:v>
      </x:c>
    </x:row>
    <x:row r="35" ht="50" customHeight="1">
      <x:c r="A35" s="20" t="str">
        <x:v>A-031</x:v>
      </x:c>
      <x:c r="B35" s="20" t="str">
        <x:v>Power</x:v>
      </x:c>
      <x:c r="C35" s="20" t="str">
        <x:v>Use panel/backlight internal-dissipation scenario estimates of 6 / 15 / 18 / 30 / 20 / 15 W</x:v>
      </x:c>
      <x:c r="D35" s="20" t="str">
        <x:v>W</x:v>
      </x:c>
      <x:c r="E35" s="20" t="str">
        <x:v>Creates preliminary Idle / Normal / Teams / Max Brightness / Heavy / BYOD scenarios.</x:v>
      </x:c>
      <x:c r="F35" s="20" t="str">
        <x:v>MP-063–MP-065</x:v>
      </x:c>
      <x:c r="G35" s="20" t="str">
        <x:v>Thermal capacity and supply sizing change.</x:v>
      </x:c>
      <x:c r="H35" s="20" t="str">
        <x:v>Selected panel electrical and thermal datasheet.</x:v>
      </x:c>
      <x:c r="I35" s="20" t="str">
        <x:v>Display EE / Thermal</x:v>
      </x:c>
      <x:c r="J35" s="21" t="str">
        <x:v>Open</x:v>
      </x:c>
      <x:c r="K35" s="20" t="str">
        <x:v>Low; 30 W maximum is an area-based Dixie reference, not a selected-panel value.</x:v>
      </x:c>
    </x:row>
    <x:row r="36" ht="50" customHeight="1">
      <x:c r="A36" s="22" t="str">
        <x:v>A-032</x:v>
      </x:c>
      <x:c r="B36" s="22" t="str">
        <x:v>Power</x:v>
      </x:c>
      <x:c r="C36" s="22" t="str">
        <x:v>Use QC7790 SOM internal-dissipation scenario estimates of 3 / 7 / 9 / 7 / 12 / 7 W</x:v>
      </x:c>
      <x:c r="D36" s="22" t="str">
        <x:v>W</x:v>
      </x:c>
      <x:c r="E36" s="22" t="str">
        <x:v>Establishes concept thermal loads before QC7790 performance data.</x:v>
      </x:c>
      <x:c r="F36" s="22" t="str">
        <x:v>MP-027; MP-063–MP-065</x:v>
      </x:c>
      <x:c r="G36" s="22" t="str">
        <x:v>Compute spreader, venting and thermal limits change.</x:v>
      </x:c>
      <x:c r="H36" s="22" t="str">
        <x:v>QC7790 power model and measured workload traces.</x:v>
      </x:c>
      <x:c r="I36" s="22" t="str">
        <x:v>EE / Thermal</x:v>
      </x:c>
      <x:c r="J36" s="21" t="str">
        <x:v>Open</x:v>
      </x:c>
      <x:c r="K36" s="22" t="str">
        <x:v>Low; Dixie QC8550 10 W is reference only.</x:v>
      </x:c>
    </x:row>
    <x:row r="37" ht="50" customHeight="1">
      <x:c r="A37" s="20" t="str">
        <x:v>A-033</x:v>
      </x:c>
      <x:c r="B37" s="20" t="str">
        <x:v>Power</x:v>
      </x:c>
      <x:c r="C37" s="20" t="str">
        <x:v>Use preliminary scenario loads for memory, carrier/PMIC, I/O, Wi-Fi/BLE, camera, audio, sensors and lighting as shown in the Preliminary Power Budget</x:v>
      </x:c>
      <x:c r="D37" s="20" t="str">
        <x:v>W</x:v>
      </x:c>
      <x:c r="E37" s="20" t="str">
        <x:v>Provides complete scenario bookkeeping and a heat-source-to-space-claim map.</x:v>
      </x:c>
      <x:c r="F37" s="20" t="str">
        <x:v>MP-033–MP-046; MP-063–MP-065</x:v>
      </x:c>
      <x:c r="G37" s="20" t="str">
        <x:v>Thermal density, power supply and component layout change.</x:v>
      </x:c>
      <x:c r="H37" s="20" t="str">
        <x:v>Schematics, BOM, measured rails and subsystem specifications.</x:v>
      </x:c>
      <x:c r="I37" s="20" t="str">
        <x:v>EE / Thermal</x:v>
      </x:c>
      <x:c r="J37" s="21" t="str">
        <x:v>Open</x:v>
      </x:c>
      <x:c r="K37" s="20" t="str">
        <x:v>Low; source-specific values are model inputs, not final requirements.</x:v>
      </x:c>
    </x:row>
    <x:row r="38" ht="50" customHeight="1">
      <x:c r="A38" s="22" t="str">
        <x:v>A-034</x:v>
      </x:c>
      <x:c r="B38" s="22" t="str">
        <x:v>Power</x:v>
      </x:c>
      <x:c r="C38" s="22" t="str">
        <x:v>Use 7.8 W USB-C PD internal loss at 90 W laptop delivery based on 92% end-to-end efficiency</x:v>
      </x:c>
      <x:c r="D38" s="22" t="str">
        <x:v>W</x:v>
      </x:c>
      <x:c r="E38" s="22" t="str">
        <x:v>Keeps laptop-delivered power separate from Hinoki internal heat.</x:v>
      </x:c>
      <x:c r="F38" s="22" t="str">
        <x:v>MP-036; MP-064; MP-065</x:v>
      </x:c>
      <x:c r="G38" s="22" t="str">
        <x:v>Base PD thermal design and supply capability change.</x:v>
      </x:c>
      <x:c r="H38" s="22" t="str">
        <x:v>Selected PD topology and 90 W thermal measurement.</x:v>
      </x:c>
      <x:c r="I38" s="22" t="str">
        <x:v>Power EE / Thermal</x:v>
      </x:c>
      <x:c r="J38" s="21" t="str">
        <x:v>Open</x:v>
      </x:c>
      <x:c r="K38" s="22" t="str">
        <x:v>Low-to-medium; derived from A-006 and A-012.</x:v>
      </x:c>
    </x:row>
  </x:sheetData>
  <x:mergeCells>
    <x:mergeCell ref="A1:K1"/>
    <x:mergeCell ref="A2:K2"/>
  </x:mergeCells>
  <x:conditionalFormatting sqref="J5:J16">
    <x:cfRule type="containsText" dxfId="6" priority="1" operator="containsText" text="Open"/>
    <x:cfRule type="containsText" dxfId="7" priority="2" operator="containsText" text="Closed"/>
  </x:conditionalFormatting>
  <x:dataValidations count="1">
    <x:dataValidation type="list" sqref="J5:J16">
      <x:formula1>"Open,Accepted,Rejected,Closed"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3b22dc47ab4d9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28" hidden="0" customWidth="1"/>
    <x:col min="5" max="5" width="34" hidden="0" customWidth="1"/>
    <x:col min="6" max="6" width="14" hidden="0" customWidth="1"/>
    <x:col min="7" max="7" width="20" hidden="0" customWidth="1"/>
    <x:col min="8" max="8" width="42" hidden="0" customWidth="1"/>
    <x:col min="9" max="9" width="14" hidden="0" customWidth="1"/>
    <x:col min="10" max="10" width="14" hidden="0" customWidth="1"/>
    <x:col min="11" max="11" width="42" hidden="0" customWidth="1"/>
  </x:cols>
  <x:sheetData>
    <x:row r="1" ht="26" customHeight="1">
      <x:c r="A1" s="26" t="str">
        <x:v>Hinoki Frozen Baseline</x:v>
      </x:c>
      <x:c r="B1" s="26" t="str">
        <x:v>Hinoki Frozen Baseline</x:v>
      </x:c>
      <x:c r="C1" s="26" t="str">
        <x:v>Hinoki Frozen Baseline</x:v>
      </x:c>
      <x:c r="D1" s="26" t="str">
        <x:v>Hinoki Frozen Baseline</x:v>
      </x:c>
      <x:c r="E1" s="26" t="str">
        <x:v>Hinoki Frozen Baseline</x:v>
      </x:c>
      <x:c r="F1" s="26" t="str">
        <x:v>Hinoki Frozen Baseline</x:v>
      </x:c>
      <x:c r="G1" s="26" t="str">
        <x:v>Hinoki Frozen Baseline</x:v>
      </x:c>
      <x:c r="H1" s="26" t="str">
        <x:v>Hinoki Frozen Baseline</x:v>
      </x:c>
      <x:c r="I1" s="26" t="str">
        <x:v>Hinoki Frozen Baseline</x:v>
      </x:c>
      <x:c r="J1" s="26" t="str">
        <x:v>Hinoki Frozen Baseline</x:v>
      </x:c>
      <x:c r="K1" s="26" t="str">
        <x:v>Hinoki Frozen Baseline</x:v>
      </x:c>
    </x:row>
    <x:row r="2" ht="30" customHeight="1">
      <x:c r="A2" s="30" t="str">
        <x:v>Only direct product requirements and source-confirmed Known values are frozen. Assumed, Derived and TBD values remain change-controlled concept inputs.</x:v>
      </x:c>
      <x:c r="B2" s="30" t="str">
        <x:v>Only direct product requirements and source-confirmed Known values are frozen. Assumed, Derived and TBD values remain change-controlled concept inputs.</x:v>
      </x:c>
      <x:c r="C2" s="30" t="str">
        <x:v>Only direct product requirements and source-confirmed Known values are frozen. Assumed, Derived and TBD values remain change-controlled concept inputs.</x:v>
      </x:c>
      <x:c r="D2" s="30" t="str">
        <x:v>Only direct product requirements and source-confirmed Known values are frozen. Assumed, Derived and TBD values remain change-controlled concept inputs.</x:v>
      </x:c>
      <x:c r="E2" s="30" t="str">
        <x:v>Only direct product requirements and source-confirmed Known values are frozen. Assumed, Derived and TBD values remain change-controlled concept inputs.</x:v>
      </x:c>
      <x:c r="F2" s="30" t="str">
        <x:v>Only direct product requirements and source-confirmed Known values are frozen. Assumed, Derived and TBD values remain change-controlled concept inputs.</x:v>
      </x:c>
      <x:c r="G2" s="30" t="str">
        <x:v>Only direct product requirements and source-confirmed Known values are frozen. Assumed, Derived and TBD values remain change-controlled concept inputs.</x:v>
      </x:c>
      <x:c r="H2" s="30" t="str">
        <x:v>Only direct product requirements and source-confirmed Known values are frozen. Assumed, Derived and TBD values remain change-controlled concept inputs.</x:v>
      </x:c>
      <x:c r="I2" s="30" t="str">
        <x:v>Only direct product requirements and source-confirmed Known values are frozen. Assumed, Derived and TBD values remain change-controlled concept inputs.</x:v>
      </x:c>
      <x:c r="J2" s="30" t="str">
        <x:v>Only direct product requirements and source-confirmed Known values are frozen. Assumed, Derived and TBD values remain change-controlled concept inputs.</x:v>
      </x:c>
      <x:c r="K2" s="30" t="str">
        <x:v>Only direct product requirements and source-confirmed Known values are frozen. Assumed, Derived and TBD values remain change-controlled concept inputs.</x:v>
      </x:c>
    </x:row>
    <x:row r="4" ht="34" customHeight="1">
      <x:c r="A4" s="36" t="str">
        <x:v>Freeze ID</x:v>
      </x:c>
      <x:c r="B4" s="36" t="str">
        <x:v>Master Parameter ID</x:v>
      </x:c>
      <x:c r="C4" s="36" t="str">
        <x:v>Category</x:v>
      </x:c>
      <x:c r="D4" s="36" t="str">
        <x:v>Approved Parameter</x:v>
      </x:c>
      <x:c r="E4" s="36" t="str">
        <x:v>Frozen Value</x:v>
      </x:c>
      <x:c r="F4" s="36" t="str">
        <x:v>Units</x:v>
      </x:c>
      <x:c r="G4" s="36" t="str">
        <x:v>Basis</x:v>
      </x:c>
      <x:c r="H4" s="36" t="str">
        <x:v>Source / Trace</x:v>
      </x:c>
      <x:c r="I4" s="36" t="str">
        <x:v>Status</x:v>
      </x:c>
      <x:c r="J4" s="36" t="str">
        <x:v>CAD-driving?</x:v>
      </x:c>
      <x:c r="K4" s="36" t="str">
        <x:v>Change-Control Note</x:v>
      </x:c>
    </x:row>
    <x:row r="5" ht="42" customHeight="1">
      <x:c r="A5" s="20" t="str">
        <x:v>FB-001</x:v>
      </x:c>
      <x:c r="B5" s="20" t="str">
        <x:v>MP-001</x:v>
      </x:c>
      <x:c r="C5" s="20" t="str">
        <x:v>Product Requirement</x:v>
      </x:c>
      <x:c r="D5" s="20" t="str">
        <x:v>Product use case</x:v>
      </x:c>
      <x:c r="E5" s="20" t="str">
        <x:v>32-inch desktop / focus-room all-in-one</x:v>
      </x:c>
      <x:c r="F5" s="20" t="str">
        <x:v>—</x:v>
      </x:c>
      <x:c r="G5" s="20" t="str">
        <x:v>Known direct requirement</x:v>
      </x:c>
      <x:c r="H5" s="20" t="str">
        <x:v>User request; Dixie and Hinoki table.xlsx; Prompt; Sheet1 row 5</x:v>
      </x:c>
      <x:c r="I5" s="37" t="str">
        <x:v>Frozen</x:v>
      </x:c>
      <x:c r="J5" s="20" t="str">
        <x:v>Yes</x:v>
      </x:c>
      <x:c r="K5" s="20" t="str">
        <x:v>Change requires explicit user approval; do not substitute Dixie geometry.</x:v>
      </x:c>
    </x:row>
    <x:row r="6" ht="42" customHeight="1">
      <x:c r="A6" s="19" t="str">
        <x:v>FB-002</x:v>
      </x:c>
      <x:c r="B6" s="19" t="str">
        <x:v>MP-002</x:v>
      </x:c>
      <x:c r="C6" s="19" t="str">
        <x:v>Panel</x:v>
      </x:c>
      <x:c r="D6" s="19" t="str">
        <x:v>Nominal display diagonal</x:v>
      </x:c>
      <x:c r="E6" s="19" t="str">
        <x:v>32</x:v>
      </x:c>
      <x:c r="F6" s="19" t="str">
        <x:v>in</x:v>
      </x:c>
      <x:c r="G6" s="19" t="str">
        <x:v>Known direct requirement</x:v>
      </x:c>
      <x:c r="H6" s="19" t="str">
        <x:v>Dixie and Hinoki table.xlsx; User request; Sheet1 row 5; prompt</x:v>
      </x:c>
      <x:c r="I6" s="37" t="str">
        <x:v>Frozen</x:v>
      </x:c>
      <x:c r="J6" s="19" t="str">
        <x:v>Yes</x:v>
      </x:c>
      <x:c r="K6" s="19" t="str">
        <x:v>Change requires explicit user approval; do not substitute Dixie geometry.</x:v>
      </x:c>
    </x:row>
    <x:row r="7" ht="42" customHeight="1">
      <x:c r="A7" s="20" t="str">
        <x:v>FB-003</x:v>
      </x:c>
      <x:c r="B7" s="20" t="str">
        <x:v>MP-008</x:v>
      </x:c>
      <x:c r="C7" s="20" t="str">
        <x:v>Panel</x:v>
      </x:c>
      <x:c r="D7" s="20" t="str">
        <x:v>Touch technology</x:v>
      </x:c>
      <x:c r="E7" s="20" t="str">
        <x:v>Projected capacitive touch</x:v>
      </x:c>
      <x:c r="F7" s="20" t="str">
        <x:v>—</x:v>
      </x:c>
      <x:c r="G7" s="20" t="str">
        <x:v>Known direct requirement</x:v>
      </x:c>
      <x:c r="H7" s="20" t="str">
        <x:v>Dixie and Hinoki table.xlsx; User request; Sheet1 row 5; prompt</x:v>
      </x:c>
      <x:c r="I7" s="37" t="str">
        <x:v>Frozen</x:v>
      </x:c>
      <x:c r="J7" s="20" t="str">
        <x:v>Yes</x:v>
      </x:c>
      <x:c r="K7" s="20" t="str">
        <x:v>Change requires explicit user approval; do not substitute Dixie geometry.</x:v>
      </x:c>
    </x:row>
    <x:row r="8" ht="42" customHeight="1">
      <x:c r="A8" s="19" t="str">
        <x:v>FB-004</x:v>
      </x:c>
      <x:c r="B8" s="19" t="str">
        <x:v>MP-011</x:v>
      </x:c>
      <x:c r="C8" s="19" t="str">
        <x:v>Panel</x:v>
      </x:c>
      <x:c r="D8" s="19" t="str">
        <x:v>Stylus</x:v>
      </x:c>
      <x:c r="E8" s="19" t="str">
        <x:v>None</x:v>
      </x:c>
      <x:c r="F8" s="19" t="str">
        <x:v>—</x:v>
      </x:c>
      <x:c r="G8" s="19" t="str">
        <x:v>Known direct requirement</x:v>
      </x:c>
      <x:c r="H8" s="19" t="str">
        <x:v>Dixie and Hinoki table.xlsx; Sheet1 row 5</x:v>
      </x:c>
      <x:c r="I8" s="37" t="str">
        <x:v>Frozen</x:v>
      </x:c>
      <x:c r="J8" s="19" t="str">
        <x:v>No</x:v>
      </x:c>
      <x:c r="K8" s="19" t="str">
        <x:v>Change requires explicit user approval; do not substitute Dixie geometry.</x:v>
      </x:c>
    </x:row>
    <x:row r="9" ht="42" customHeight="1">
      <x:c r="A9" s="20" t="str">
        <x:v>FB-005</x:v>
      </x:c>
      <x:c r="B9" s="20" t="str">
        <x:v>MP-020</x:v>
      </x:c>
      <x:c r="C9" s="20" t="str">
        <x:v>Camera</x:v>
      </x:c>
      <x:c r="D9" s="20" t="str">
        <x:v>Camera output</x:v>
      </x:c>
      <x:c r="E9" s="20" t="str">
        <x:v>Integrated 4K camera</x:v>
      </x:c>
      <x:c r="F9" s="20" t="str">
        <x:v>—</x:v>
      </x:c>
      <x:c r="G9" s="20" t="str">
        <x:v>Known direct requirement</x:v>
      </x:c>
      <x:c r="H9" s="20" t="str">
        <x:v>User request; Prompt</x:v>
      </x:c>
      <x:c r="I9" s="37" t="str">
        <x:v>Frozen</x:v>
      </x:c>
      <x:c r="J9" s="20" t="str">
        <x:v>Yes</x:v>
      </x:c>
      <x:c r="K9" s="20" t="str">
        <x:v>Change requires explicit user approval; do not substitute Dixie geometry.</x:v>
      </x:c>
    </x:row>
    <x:row r="10" ht="42" customHeight="1">
      <x:c r="A10" s="19" t="str">
        <x:v>FB-006</x:v>
      </x:c>
      <x:c r="B10" s="19" t="str">
        <x:v>MP-022</x:v>
      </x:c>
      <x:c r="C10" s="19" t="str">
        <x:v>Camera</x:v>
      </x:c>
      <x:c r="D10" s="19" t="str">
        <x:v>Horizontal field of view</x:v>
      </x:c>
      <x:c r="E10" s="19" t="str">
        <x:v>134–140</x:v>
      </x:c>
      <x:c r="F10" s="19" t="str">
        <x:v>deg</x:v>
      </x:c>
      <x:c r="G10" s="19" t="str">
        <x:v>Known direct requirement</x:v>
      </x:c>
      <x:c r="H10" s="19" t="str">
        <x:v>Dixie and Hinoki table.xlsx; User request; Sheet1 row 3; prompt</x:v>
      </x:c>
      <x:c r="I10" s="37" t="str">
        <x:v>Frozen</x:v>
      </x:c>
      <x:c r="J10" s="19" t="str">
        <x:v>Yes</x:v>
      </x:c>
      <x:c r="K10" s="19" t="str">
        <x:v>Change requires explicit user approval; do not substitute Dixie geometry.</x:v>
      </x:c>
    </x:row>
    <x:row r="11" ht="42" customHeight="1">
      <x:c r="A11" s="20" t="str">
        <x:v>FB-007</x:v>
      </x:c>
      <x:c r="B11" s="20" t="str">
        <x:v>MP-024</x:v>
      </x:c>
      <x:c r="C11" s="20" t="str">
        <x:v>Camera</x:v>
      </x:c>
      <x:c r="D11" s="20" t="str">
        <x:v>Privacy shutter actuation</x:v>
      </x:c>
      <x:c r="E11" s="20" t="str">
        <x:v>Manual</x:v>
      </x:c>
      <x:c r="F11" s="20" t="str">
        <x:v>—</x:v>
      </x:c>
      <x:c r="G11" s="20" t="str">
        <x:v>Known direct requirement</x:v>
      </x:c>
      <x:c r="H11" s="20" t="str">
        <x:v>Dixie and Hinoki table.xlsx; User request; Sheet1 row 4; prompt</x:v>
      </x:c>
      <x:c r="I11" s="37" t="str">
        <x:v>Frozen</x:v>
      </x:c>
      <x:c r="J11" s="20" t="str">
        <x:v>Yes</x:v>
      </x:c>
      <x:c r="K11" s="20" t="str">
        <x:v>Change requires explicit user approval; do not substitute Dixie geometry.</x:v>
      </x:c>
    </x:row>
    <x:row r="12" ht="42" customHeight="1">
      <x:c r="A12" s="19" t="str">
        <x:v>FB-008</x:v>
      </x:c>
      <x:c r="B12" s="19" t="str">
        <x:v>MP-025</x:v>
      </x:c>
      <x:c r="C12" s="19" t="str">
        <x:v>Camera</x:v>
      </x:c>
      <x:c r="D12" s="19" t="str">
        <x:v>Privacy shutter retention</x:v>
      </x:c>
      <x:c r="E12" s="19" t="str">
        <x:v>Non-removable captive shutter</x:v>
      </x:c>
      <x:c r="F12" s="19" t="str">
        <x:v>—</x:v>
      </x:c>
      <x:c r="G12" s="19" t="str">
        <x:v>Known direct requirement</x:v>
      </x:c>
      <x:c r="H12" s="19" t="str">
        <x:v>User request; Prompt</x:v>
      </x:c>
      <x:c r="I12" s="37" t="str">
        <x:v>Frozen</x:v>
      </x:c>
      <x:c r="J12" s="19" t="str">
        <x:v>Yes</x:v>
      </x:c>
      <x:c r="K12" s="19" t="str">
        <x:v>Change requires explicit user approval; do not substitute Dixie geometry.</x:v>
      </x:c>
    </x:row>
    <x:row r="13" ht="42" customHeight="1">
      <x:c r="A13" s="20" t="str">
        <x:v>FB-009</x:v>
      </x:c>
      <x:c r="B13" s="20" t="str">
        <x:v>MP-027</x:v>
      </x:c>
      <x:c r="C13" s="20" t="str">
        <x:v>Compute</x:v>
      </x:c>
      <x:c r="D13" s="20" t="str">
        <x:v>System-on-module</x:v>
      </x:c>
      <x:c r="E13" s="20" t="str">
        <x:v>QC7790 SOM</x:v>
      </x:c>
      <x:c r="F13" s="20" t="str">
        <x:v>—</x:v>
      </x:c>
      <x:c r="G13" s="20" t="str">
        <x:v>Known direct requirement</x:v>
      </x:c>
      <x:c r="H13" s="20" t="str">
        <x:v>Dixie and Hinoki table.xlsx; User request; Sheet1 row 2; prompt</x:v>
      </x:c>
      <x:c r="I13" s="37" t="str">
        <x:v>Frozen</x:v>
      </x:c>
      <x:c r="J13" s="20" t="str">
        <x:v>Yes</x:v>
      </x:c>
      <x:c r="K13" s="20" t="str">
        <x:v>Change requires explicit user approval; do not substitute Dixie geometry.</x:v>
      </x:c>
    </x:row>
    <x:row r="14" ht="42" customHeight="1">
      <x:c r="A14" s="19" t="str">
        <x:v>FB-010</x:v>
      </x:c>
      <x:c r="B14" s="19" t="str">
        <x:v>MP-033</x:v>
      </x:c>
      <x:c r="C14" s="19" t="str">
        <x:v>Interface</x:v>
      </x:c>
      <x:c r="D14" s="19" t="str">
        <x:v>HDMI input</x:v>
      </x:c>
      <x:c r="E14" s="19" t="str">
        <x:v>1 × HDMI input</x:v>
      </x:c>
      <x:c r="F14" s="19" t="str">
        <x:v>count</x:v>
      </x:c>
      <x:c r="G14" s="19" t="str">
        <x:v>Known direct requirement</x:v>
      </x:c>
      <x:c r="H14" s="19" t="str">
        <x:v>Dixie and Hinoki table.xlsx; User request; Sheet1 row 7; prompt</x:v>
      </x:c>
      <x:c r="I14" s="37" t="str">
        <x:v>Frozen</x:v>
      </x:c>
      <x:c r="J14" s="19" t="str">
        <x:v>Yes</x:v>
      </x:c>
      <x:c r="K14" s="19" t="str">
        <x:v>Change requires explicit user approval; do not substitute Dixie geometry.</x:v>
      </x:c>
    </x:row>
    <x:row r="15" ht="42" customHeight="1">
      <x:c r="A15" s="20" t="str">
        <x:v>FB-011</x:v>
      </x:c>
      <x:c r="B15" s="20" t="str">
        <x:v>MP-034</x:v>
      </x:c>
      <x:c r="C15" s="20" t="str">
        <x:v>Interface</x:v>
      </x:c>
      <x:c r="D15" s="20" t="str">
        <x:v>USB-A</x:v>
      </x:c>
      <x:c r="E15" s="20" t="str">
        <x:v>2 × USB-A</x:v>
      </x:c>
      <x:c r="F15" s="20" t="str">
        <x:v>count</x:v>
      </x:c>
      <x:c r="G15" s="20" t="str">
        <x:v>Known direct requirement</x:v>
      </x:c>
      <x:c r="H15" s="20" t="str">
        <x:v>Dixie and Hinoki table.xlsx; User request; Sheet1 row 7; prompt</x:v>
      </x:c>
      <x:c r="I15" s="37" t="str">
        <x:v>Frozen</x:v>
      </x:c>
      <x:c r="J15" s="20" t="str">
        <x:v>Yes</x:v>
      </x:c>
      <x:c r="K15" s="20" t="str">
        <x:v>Change requires explicit user approval; do not substitute Dixie geometry.</x:v>
      </x:c>
    </x:row>
    <x:row r="16" ht="42" customHeight="1">
      <x:c r="A16" s="19" t="str">
        <x:v>FB-012</x:v>
      </x:c>
      <x:c r="B16" s="19" t="str">
        <x:v>MP-035</x:v>
      </x:c>
      <x:c r="C16" s="19" t="str">
        <x:v>Interface</x:v>
      </x:c>
      <x:c r="D16" s="19" t="str">
        <x:v>USB-C BYOD</x:v>
      </x:c>
      <x:c r="E16" s="19" t="str">
        <x:v>1 × USB-C BYOD with display/data and PD</x:v>
      </x:c>
      <x:c r="F16" s="19" t="str">
        <x:v>count</x:v>
      </x:c>
      <x:c r="G16" s="19" t="str">
        <x:v>Known direct requirement</x:v>
      </x:c>
      <x:c r="H16" s="19" t="str">
        <x:v>Dixie and Hinoki table.xlsx; User request; Sheet1 row 7; prompt</x:v>
      </x:c>
      <x:c r="I16" s="37" t="str">
        <x:v>Frozen</x:v>
      </x:c>
      <x:c r="J16" s="19" t="str">
        <x:v>Yes</x:v>
      </x:c>
      <x:c r="K16" s="19" t="str">
        <x:v>Change requires explicit user approval; do not substitute Dixie geometry.</x:v>
      </x:c>
    </x:row>
    <x:row r="17" ht="42" customHeight="1">
      <x:c r="A17" s="20" t="str">
        <x:v>FB-013</x:v>
      </x:c>
      <x:c r="B17" s="20" t="str">
        <x:v>MP-036</x:v>
      </x:c>
      <x:c r="C17" s="20" t="str">
        <x:v>Interface</x:v>
      </x:c>
      <x:c r="D17" s="20" t="str">
        <x:v>USB-C laptop charging delivered power</x:v>
      </x:c>
      <x:c r="E17" s="20" t="str">
        <x:v>≥90</x:v>
      </x:c>
      <x:c r="F17" s="20" t="str">
        <x:v>W delivered to laptop</x:v>
      </x:c>
      <x:c r="G17" s="20" t="str">
        <x:v>Known direct requirement</x:v>
      </x:c>
      <x:c r="H17" s="20" t="str">
        <x:v>User request; Prompt</x:v>
      </x:c>
      <x:c r="I17" s="37" t="str">
        <x:v>Frozen</x:v>
      </x:c>
      <x:c r="J17" s="20" t="str">
        <x:v>No</x:v>
      </x:c>
      <x:c r="K17" s="20" t="str">
        <x:v>Change requires explicit user approval; do not substitute Dixie geometry.</x:v>
      </x:c>
    </x:row>
    <x:row r="18" ht="42" customHeight="1">
      <x:c r="A18" s="19" t="str">
        <x:v>FB-014</x:v>
      </x:c>
      <x:c r="B18" s="19" t="str">
        <x:v>MP-037</x:v>
      </x:c>
      <x:c r="C18" s="19" t="str">
        <x:v>Interface</x:v>
      </x:c>
      <x:c r="D18" s="19" t="str">
        <x:v>Ethernet</x:v>
      </x:c>
      <x:c r="E18" s="19" t="str">
        <x:v>Present</x:v>
      </x:c>
      <x:c r="F18" s="19" t="str">
        <x:v>port</x:v>
      </x:c>
      <x:c r="G18" s="19" t="str">
        <x:v>Known direct requirement</x:v>
      </x:c>
      <x:c r="H18" s="19" t="str">
        <x:v>Dixie and Hinoki table.xlsx; User request; Sheet1 row 7; prompt</x:v>
      </x:c>
      <x:c r="I18" s="37" t="str">
        <x:v>Frozen</x:v>
      </x:c>
      <x:c r="J18" s="19" t="str">
        <x:v>Yes</x:v>
      </x:c>
      <x:c r="K18" s="19" t="str">
        <x:v>Change requires explicit user approval; do not substitute Dixie geometry.</x:v>
      </x:c>
    </x:row>
    <x:row r="19" ht="42" customHeight="1">
      <x:c r="A19" s="20" t="str">
        <x:v>FB-015</x:v>
      </x:c>
      <x:c r="B19" s="20" t="str">
        <x:v>MP-038</x:v>
      </x:c>
      <x:c r="C19" s="20" t="str">
        <x:v>Interface</x:v>
      </x:c>
      <x:c r="D19" s="20" t="str">
        <x:v>3.5 mm audio output</x:v>
      </x:c>
      <x:c r="E19" s="20" t="str">
        <x:v>Present</x:v>
      </x:c>
      <x:c r="F19" s="20" t="str">
        <x:v>port</x:v>
      </x:c>
      <x:c r="G19" s="20" t="str">
        <x:v>Known direct requirement</x:v>
      </x:c>
      <x:c r="H19" s="20" t="str">
        <x:v>Dixie and Hinoki table.xlsx; User request; Sheet1 row 7; prompt</x:v>
      </x:c>
      <x:c r="I19" s="37" t="str">
        <x:v>Frozen</x:v>
      </x:c>
      <x:c r="J19" s="20" t="str">
        <x:v>Yes</x:v>
      </x:c>
      <x:c r="K19" s="20" t="str">
        <x:v>Change requires explicit user approval; do not substitute Dixie geometry.</x:v>
      </x:c>
    </x:row>
    <x:row r="20" ht="42" customHeight="1">
      <x:c r="A20" s="19" t="str">
        <x:v>FB-016</x:v>
      </x:c>
      <x:c r="B20" s="19" t="str">
        <x:v>MP-040</x:v>
      </x:c>
      <x:c r="C20" s="19" t="str">
        <x:v>Connectivity</x:v>
      </x:c>
      <x:c r="D20" s="19" t="str">
        <x:v>Wi-Fi</x:v>
      </x:c>
      <x:c r="E20" s="19" t="str">
        <x:v>Wi-Fi 6</x:v>
      </x:c>
      <x:c r="F20" s="19" t="str">
        <x:v>—</x:v>
      </x:c>
      <x:c r="G20" s="19" t="str">
        <x:v>Known direct requirement</x:v>
      </x:c>
      <x:c r="H20" s="19" t="str">
        <x:v>Dixie and Hinoki table.xlsx; User request; Sheet1 row 8; prompt</x:v>
      </x:c>
      <x:c r="I20" s="37" t="str">
        <x:v>Frozen</x:v>
      </x:c>
      <x:c r="J20" s="19" t="str">
        <x:v>No</x:v>
      </x:c>
      <x:c r="K20" s="19" t="str">
        <x:v>Change requires explicit user approval; do not substitute Dixie geometry.</x:v>
      </x:c>
    </x:row>
    <x:row r="21" ht="42" customHeight="1">
      <x:c r="A21" s="20" t="str">
        <x:v>FB-017</x:v>
      </x:c>
      <x:c r="B21" s="20" t="str">
        <x:v>MP-041</x:v>
      </x:c>
      <x:c r="C21" s="20" t="str">
        <x:v>Connectivity</x:v>
      </x:c>
      <x:c r="D21" s="20" t="str">
        <x:v>Bluetooth Low Energy</x:v>
      </x:c>
      <x:c r="E21" s="20" t="str">
        <x:v>BLE</x:v>
      </x:c>
      <x:c r="F21" s="20" t="str">
        <x:v>—</x:v>
      </x:c>
      <x:c r="G21" s="20" t="str">
        <x:v>Known direct requirement</x:v>
      </x:c>
      <x:c r="H21" s="20" t="str">
        <x:v>Dixie and Hinoki table.xlsx; User request; Sheet1 row 8; prompt</x:v>
      </x:c>
      <x:c r="I21" s="37" t="str">
        <x:v>Frozen</x:v>
      </x:c>
      <x:c r="J21" s="20" t="str">
        <x:v>No</x:v>
      </x:c>
      <x:c r="K21" s="20" t="str">
        <x:v>Change requires explicit user approval; do not substitute Dixie geometry.</x:v>
      </x:c>
    </x:row>
    <x:row r="22" ht="42" customHeight="1">
      <x:c r="A22" s="19" t="str">
        <x:v>FB-018</x:v>
      </x:c>
      <x:c r="B22" s="19" t="str">
        <x:v>MP-042</x:v>
      </x:c>
      <x:c r="C22" s="19" t="str">
        <x:v>Sensor</x:v>
      </x:c>
      <x:c r="D22" s="19" t="str">
        <x:v>Radar presence detection</x:v>
      </x:c>
      <x:c r="E22" s="19" t="str">
        <x:v>Radar presence detection</x:v>
      </x:c>
      <x:c r="F22" s="19" t="str">
        <x:v>—</x:v>
      </x:c>
      <x:c r="G22" s="19" t="str">
        <x:v>Known direct requirement</x:v>
      </x:c>
      <x:c r="H22" s="19" t="str">
        <x:v>Dixie and Hinoki table.xlsx; Dixie BOM; User request; Sheet1 row 9; Plastic Parts List Radar Holder; prompt</x:v>
      </x:c>
      <x:c r="I22" s="37" t="str">
        <x:v>Frozen</x:v>
      </x:c>
      <x:c r="J22" s="19" t="str">
        <x:v>Yes</x:v>
      </x:c>
      <x:c r="K22" s="19" t="str">
        <x:v>Change requires explicit user approval; do not substitute Dixie geometry.</x:v>
      </x:c>
    </x:row>
    <x:row r="23" ht="42" customHeight="1">
      <x:c r="A23" s="20" t="str">
        <x:v>FB-019</x:v>
      </x:c>
      <x:c r="B23" s="20" t="str">
        <x:v>MP-045</x:v>
      </x:c>
      <x:c r="C23" s="20" t="str">
        <x:v>Lighting</x:v>
      </x:c>
      <x:c r="D23" s="20" t="str">
        <x:v>Front lighting</x:v>
      </x:c>
      <x:c r="E23" s="20" t="str">
        <x:v>Integrated front lighting solution</x:v>
      </x:c>
      <x:c r="F23" s="20" t="str">
        <x:v>—</x:v>
      </x:c>
      <x:c r="G23" s="20" t="str">
        <x:v>Known direct requirement</x:v>
      </x:c>
      <x:c r="H23" s="20" t="str">
        <x:v>Dixie and Hinoki table.xlsx; User request; Sheet1 row 11; prompt</x:v>
      </x:c>
      <x:c r="I23" s="37" t="str">
        <x:v>Frozen</x:v>
      </x:c>
      <x:c r="J23" s="20" t="str">
        <x:v>Yes</x:v>
      </x:c>
      <x:c r="K23" s="20" t="str">
        <x:v>Change requires explicit user approval; do not substitute Dixie geometry.</x:v>
      </x:c>
    </x:row>
    <x:row r="24" ht="42" customHeight="1">
      <x:c r="A24" s="19" t="str">
        <x:v>FB-020</x:v>
      </x:c>
      <x:c r="B24" s="19" t="str">
        <x:v>MP-048</x:v>
      </x:c>
      <x:c r="C24" s="19" t="str">
        <x:v>Mounting</x:v>
      </x:c>
      <x:c r="D24" s="19" t="str">
        <x:v>Desktop stand</x:v>
      </x:c>
      <x:c r="E24" s="19" t="str">
        <x:v>Height- and tilt-adjustable desktop stand</x:v>
      </x:c>
      <x:c r="F24" s="19" t="str">
        <x:v>—</x:v>
      </x:c>
      <x:c r="G24" s="19" t="str">
        <x:v>Known direct requirement</x:v>
      </x:c>
      <x:c r="H24" s="19" t="str">
        <x:v>Dixie and Hinoki table.xlsx; User request; Sheet1 row 10; prompt</x:v>
      </x:c>
      <x:c r="I24" s="37" t="str">
        <x:v>Frozen</x:v>
      </x:c>
      <x:c r="J24" s="19" t="str">
        <x:v>Yes</x:v>
      </x:c>
      <x:c r="K24" s="19" t="str">
        <x:v>Change requires explicit user approval; do not substitute Dixie geometry.</x:v>
      </x:c>
    </x:row>
    <x:row r="25" ht="42" customHeight="1">
      <x:c r="A25" s="20" t="str">
        <x:v>FB-021</x:v>
      </x:c>
      <x:c r="B25" s="20" t="str">
        <x:v>MP-077</x:v>
      </x:c>
      <x:c r="C25" s="20" t="str">
        <x:v>Validation</x:v>
      </x:c>
      <x:c r="D25" s="20" t="str">
        <x:v>Uniform geometric scaling rule</x:v>
      </x:c>
      <x:c r="E25" s="20" t="str">
        <x:v>Uniform 32/65 scaling prohibited</x:v>
      </x:c>
      <x:c r="F25" s="20" t="str">
        <x:v>—</x:v>
      </x:c>
      <x:c r="G25" s="20" t="str">
        <x:v>Known direct requirement</x:v>
      </x:c>
      <x:c r="H25" s="20" t="str">
        <x:v>User request; Prompt</x:v>
      </x:c>
      <x:c r="I25" s="37" t="str">
        <x:v>Frozen</x:v>
      </x:c>
      <x:c r="J25" s="20" t="str">
        <x:v>Yes</x:v>
      </x:c>
      <x:c r="K25" s="20" t="str">
        <x:v>Change requires explicit user approval; do not substitute Dixie geometry.</x:v>
      </x:c>
    </x:row>
    <x:row r="26" ht="42" customHeight="1">
      <x:c r="A26" s="19" t="str">
        <x:v>FB-022</x:v>
      </x:c>
      <x:c r="B26" s="19" t="str">
        <x:v>MP-043/044</x:v>
      </x:c>
      <x:c r="C26" s="19" t="str">
        <x:v>Sensor</x:v>
      </x:c>
      <x:c r="D26" s="19" t="str">
        <x:v>Ambient-light sensor provision</x:v>
      </x:c>
      <x:c r="E26" s="19" t="str">
        <x:v>Reserve provision only if applicable</x:v>
      </x:c>
      <x:c r="F26" s="19" t="str">
        <x:v>—</x:v>
      </x:c>
      <x:c r="G26" s="19" t="str">
        <x:v>Conditional requirement</x:v>
      </x:c>
      <x:c r="H26" s="19" t="str">
        <x:v>User requirement; A-007; architecture specification</x:v>
      </x:c>
      <x:c r="I26" s="21" t="str">
        <x:v>Conditional</x:v>
      </x:c>
      <x:c r="J26" s="19" t="str">
        <x:v>Yes</x:v>
      </x:c>
      <x:c r="K26" s="19" t="str">
        <x:v>Do not mandate final sensor or window until product decision.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2" hidden="0" customWidth="1"/>
    <x:col min="3" max="3" width="24" hidden="0" customWidth="1"/>
    <x:col min="4" max="4" width="28" hidden="0" customWidth="1"/>
    <x:col min="5" max="5" width="12" hidden="0" customWidth="1"/>
    <x:col min="6" max="6" width="12" hidden="0" customWidth="1"/>
    <x:col min="7" max="7" width="13" hidden="0" customWidth="1"/>
    <x:col min="8" max="8" width="15" hidden="0" customWidth="1"/>
    <x:col min="9" max="9" width="13" hidden="0" customWidth="1"/>
    <x:col min="10" max="10" width="15" hidden="0" customWidth="1"/>
    <x:col min="11" max="11" width="13" hidden="0" customWidth="1"/>
    <x:col min="12" max="12" width="16" hidden="0" customWidth="1"/>
    <x:col min="13" max="13" width="50" hidden="0" customWidth="1"/>
  </x:cols>
  <x:sheetData>
    <x:row r="1" ht="26" customHeight="1">
      <x:c r="A1" s="26" t="str">
        <x:v>Hinoki Preliminary Power Budget</x:v>
      </x:c>
      <x:c r="B1" s="26" t="str">
        <x:v>Hinoki Preliminary Power Budget</x:v>
      </x:c>
      <x:c r="C1" s="26" t="str">
        <x:v>Hinoki Preliminary Power Budget</x:v>
      </x:c>
      <x:c r="D1" s="26" t="str">
        <x:v>Hinoki Preliminary Power Budget</x:v>
      </x:c>
      <x:c r="E1" s="26" t="str">
        <x:v>Hinoki Preliminary Power Budget</x:v>
      </x:c>
      <x:c r="F1" s="26" t="str">
        <x:v>Hinoki Preliminary Power Budget</x:v>
      </x:c>
      <x:c r="G1" s="26" t="str">
        <x:v>Hinoki Preliminary Power Budget</x:v>
      </x:c>
      <x:c r="H1" s="26" t="str">
        <x:v>Hinoki Preliminary Power Budget</x:v>
      </x:c>
      <x:c r="I1" s="26" t="str">
        <x:v>Hinoki Preliminary Power Budget</x:v>
      </x:c>
      <x:c r="J1" s="26" t="str">
        <x:v>Hinoki Preliminary Power Budget</x:v>
      </x:c>
      <x:c r="K1" s="26" t="str">
        <x:v>Hinoki Preliminary Power Budget</x:v>
      </x:c>
      <x:c r="L1" s="26" t="str">
        <x:v>Hinoki Preliminary Power Budget</x:v>
      </x:c>
      <x:c r="M1" s="26" t="str">
        <x:v>Hinoki Preliminary Power Budget</x:v>
      </x:c>
    </x:row>
    <x:row r="2" ht="30" customHeight="1">
      <x:c r="A2" s="30" t="str">
        <x:v>Concept internal dissipation only. Laptop-delivered USB-C power is intentionally separated from Hinoki heat. All unselected-component estimates remain Assumed.</x:v>
      </x:c>
      <x:c r="B2" s="30" t="str">
        <x:v>Concept internal dissipation only. Laptop-delivered USB-C power is intentionally separated from Hinoki heat. All unselected-component estimates remain Assumed.</x:v>
      </x:c>
      <x:c r="C2" s="30" t="str">
        <x:v>Concept internal dissipation only. Laptop-delivered USB-C power is intentionally separated from Hinoki heat. All unselected-component estimates remain Assumed.</x:v>
      </x:c>
      <x:c r="D2" s="30" t="str">
        <x:v>Concept internal dissipation only. Laptop-delivered USB-C power is intentionally separated from Hinoki heat. All unselected-component estimates remain Assumed.</x:v>
      </x:c>
      <x:c r="E2" s="30" t="str">
        <x:v>Concept internal dissipation only. Laptop-delivered USB-C power is intentionally separated from Hinoki heat. All unselected-component estimates remain Assumed.</x:v>
      </x:c>
      <x:c r="F2" s="30" t="str">
        <x:v>Concept internal dissipation only. Laptop-delivered USB-C power is intentionally separated from Hinoki heat. All unselected-component estimates remain Assumed.</x:v>
      </x:c>
      <x:c r="G2" s="30" t="str">
        <x:v>Concept internal dissipation only. Laptop-delivered USB-C power is intentionally separated from Hinoki heat. All unselected-component estimates remain Assumed.</x:v>
      </x:c>
      <x:c r="H2" s="30" t="str">
        <x:v>Concept internal dissipation only. Laptop-delivered USB-C power is intentionally separated from Hinoki heat. All unselected-component estimates remain Assumed.</x:v>
      </x:c>
      <x:c r="I2" s="30" t="str">
        <x:v>Concept internal dissipation only. Laptop-delivered USB-C power is intentionally separated from Hinoki heat. All unselected-component estimates remain Assumed.</x:v>
      </x:c>
      <x:c r="J2" s="30" t="str">
        <x:v>Concept internal dissipation only. Laptop-delivered USB-C power is intentionally separated from Hinoki heat. All unselected-component estimates remain Assumed.</x:v>
      </x:c>
      <x:c r="K2" s="30" t="str">
        <x:v>Concept internal dissipation only. Laptop-delivered USB-C power is intentionally separated from Hinoki heat. All unselected-component estimates remain Assumed.</x:v>
      </x:c>
      <x:c r="L2" s="30" t="str">
        <x:v>Concept internal dissipation only. Laptop-delivered USB-C power is intentionally separated from Hinoki heat. All unselected-component estimates remain Assumed.</x:v>
      </x:c>
      <x:c r="M2" s="30" t="str">
        <x:v>Concept internal dissipation only. Laptop-delivered USB-C power is intentionally separated from Hinoki heat. All unselected-component estimates remain Assumed.</x:v>
      </x:c>
    </x:row>
    <x:row r="4" ht="34" customHeight="1">
      <x:c r="A4" s="36" t="str">
        <x:v>Check</x:v>
      </x:c>
      <x:c r="B4" s="36" t="str">
        <x:v>Result</x:v>
      </x:c>
      <x:c r="C4" s="36" t="str">
        <x:v>Basis</x:v>
      </x:c>
      <x:c r="D4" s="36" t="str">
        <x:v>Meaning</x:v>
      </x:c>
    </x:row>
    <x:row r="5" ht="36" customHeight="1">
      <x:c r="A5" t="str">
        <x:v>Power-to-CAD mapping</x:v>
      </x:c>
      <x:c r="B5" t="str">
        <x:f>IF(COUNTA(C7:C16)=10,"Pass","Fail")</x:f>
        <x:v>Pass</x:v>
      </x:c>
      <x:c r="C5" t="str">
        <x:v>Each heat source maps to SC-ID</x:v>
      </x:c>
      <x:c r="D5" t="str">
        <x:v>Fail if a heat source has no claim.</x:v>
      </x:c>
    </x:row>
    <x:row r="6" ht="34" customHeight="1">
      <x:c r="A6" s="36" t="str">
        <x:v>Source ID</x:v>
      </x:c>
      <x:c r="B6" s="36" t="str">
        <x:v>Heat source / function</x:v>
      </x:c>
      <x:c r="C6" s="36" t="str">
        <x:v>CAD location / Space Claim</x:v>
      </x:c>
      <x:c r="D6" s="36" t="str">
        <x:v>Classification</x:v>
      </x:c>
      <x:c r="E6" s="36" t="str">
        <x:v>Idle</x:v>
      </x:c>
      <x:c r="F6" s="36" t="str">
        <x:v>Normal</x:v>
      </x:c>
      <x:c r="G6" s="36" t="str">
        <x:v>Teams Call</x:v>
      </x:c>
      <x:c r="H6" s="36" t="str">
        <x:v>Max Brightness</x:v>
      </x:c>
      <x:c r="I6" s="36" t="str">
        <x:v>Heavy Load</x:v>
      </x:c>
      <x:c r="J6" s="36" t="str">
        <x:v>BYOD + 90 W</x:v>
      </x:c>
      <x:c r="K6" s="36" t="str">
        <x:v>Units</x:v>
      </x:c>
      <x:c r="L6" s="36" t="str">
        <x:v>Laptop delivered</x:v>
      </x:c>
      <x:c r="M6" s="36" t="str">
        <x:v>Source / Assumption</x:v>
      </x:c>
    </x:row>
    <x:row r="7" ht="42" customHeight="1">
      <x:c r="A7" s="20" t="str">
        <x:v>PB-001</x:v>
      </x:c>
      <x:c r="B7" s="20" t="str">
        <x:v>32-inch panel / backlight</x:v>
      </x:c>
      <x:c r="C7" s="20" t="str">
        <x:v>SC-001</x:v>
      </x:c>
      <x:c r="D7" s="20" t="str">
        <x:v>Assumed</x:v>
      </x:c>
      <x:c r="E7" s="38" t="n">
        <x:v>6</x:v>
      </x:c>
      <x:c r="F7" s="38" t="n">
        <x:v>15</x:v>
      </x:c>
      <x:c r="G7" s="38" t="n">
        <x:v>18</x:v>
      </x:c>
      <x:c r="H7" s="38" t="n">
        <x:v>30</x:v>
      </x:c>
      <x:c r="I7" s="38" t="n">
        <x:v>20</x:v>
      </x:c>
      <x:c r="J7" s="38" t="n">
        <x:v>15</x:v>
      </x:c>
      <x:c r="K7" s="20" t="str">
        <x:v>W internal</x:v>
      </x:c>
      <x:c r="L7" s="38" t="n">
        <x:v>0</x:v>
      </x:c>
      <x:c r="M7" s="20" t="str">
        <x:v>A-031; panel not selected</x:v>
      </x:c>
    </x:row>
    <x:row r="8" ht="42" customHeight="1">
      <x:c r="A8" s="19" t="str">
        <x:v>PB-002</x:v>
      </x:c>
      <x:c r="B8" s="19" t="str">
        <x:v>QC7790 SOM</x:v>
      </x:c>
      <x:c r="C8" s="19" t="str">
        <x:v>SC-009</x:v>
      </x:c>
      <x:c r="D8" s="19" t="str">
        <x:v>Assumed</x:v>
      </x:c>
      <x:c r="E8" s="39" t="n">
        <x:v>3</x:v>
      </x:c>
      <x:c r="F8" s="39" t="n">
        <x:v>7</x:v>
      </x:c>
      <x:c r="G8" s="39" t="n">
        <x:v>9</x:v>
      </x:c>
      <x:c r="H8" s="39" t="n">
        <x:v>7</x:v>
      </x:c>
      <x:c r="I8" s="39" t="n">
        <x:v>12</x:v>
      </x:c>
      <x:c r="J8" s="39" t="n">
        <x:v>7</x:v>
      </x:c>
      <x:c r="K8" s="19" t="str">
        <x:v>W internal</x:v>
      </x:c>
      <x:c r="L8" s="39" t="n">
        <x:v>0</x:v>
      </x:c>
      <x:c r="M8" s="19" t="str">
        <x:v>A-032; Dixie QC8550 is reference only</x:v>
      </x:c>
    </x:row>
    <x:row r="9" ht="42" customHeight="1">
      <x:c r="A9" s="20" t="str">
        <x:v>PB-003</x:v>
      </x:c>
      <x:c r="B9" s="20" t="str">
        <x:v>Memory</x:v>
      </x:c>
      <x:c r="C9" s="20" t="str">
        <x:v>SC-009</x:v>
      </x:c>
      <x:c r="D9" s="20" t="str">
        <x:v>Assumed</x:v>
      </x:c>
      <x:c r="E9" s="38" t="n">
        <x:v>0.5</x:v>
      </x:c>
      <x:c r="F9" s="38" t="n">
        <x:v>1</x:v>
      </x:c>
      <x:c r="G9" s="38" t="n">
        <x:v>1.5</x:v>
      </x:c>
      <x:c r="H9" s="38" t="n">
        <x:v>1</x:v>
      </x:c>
      <x:c r="I9" s="38" t="n">
        <x:v>2</x:v>
      </x:c>
      <x:c r="J9" s="38" t="n">
        <x:v>1</x:v>
      </x:c>
      <x:c r="K9" s="20" t="str">
        <x:v>W internal</x:v>
      </x:c>
      <x:c r="L9" s="38" t="n">
        <x:v>0</x:v>
      </x:c>
      <x:c r="M9" s="20" t="str">
        <x:v>A-033; memory configuration open</x:v>
      </x:c>
    </x:row>
    <x:row r="10" ht="42" customHeight="1">
      <x:c r="A10" s="19" t="str">
        <x:v>PB-004</x:v>
      </x:c>
      <x:c r="B10" s="19" t="str">
        <x:v>Carrier board / PMIC conversion</x:v>
      </x:c>
      <x:c r="C10" s="19" t="str">
        <x:v>SC-010</x:v>
      </x:c>
      <x:c r="D10" s="19" t="str">
        <x:v>Assumed</x:v>
      </x:c>
      <x:c r="E10" s="39" t="n">
        <x:v>1.5</x:v>
      </x:c>
      <x:c r="F10" s="39" t="n">
        <x:v>3</x:v>
      </x:c>
      <x:c r="G10" s="39" t="n">
        <x:v>3.5</x:v>
      </x:c>
      <x:c r="H10" s="39" t="n">
        <x:v>3</x:v>
      </x:c>
      <x:c r="I10" s="39" t="n">
        <x:v>5</x:v>
      </x:c>
      <x:c r="J10" s="39" t="n">
        <x:v>3</x:v>
      </x:c>
      <x:c r="K10" s="19" t="str">
        <x:v>W internal</x:v>
      </x:c>
      <x:c r="L10" s="39" t="n">
        <x:v>0</x:v>
      </x:c>
      <x:c r="M10" s="19" t="str">
        <x:v>A-033; Dixie regulator group is reference only</x:v>
      </x:c>
    </x:row>
    <x:row r="11" ht="42" customHeight="1">
      <x:c r="A11" s="20" t="str">
        <x:v>PB-005</x:v>
      </x:c>
      <x:c r="B11" s="20" t="str">
        <x:v>HDMI / USB / Ethernet I/O</x:v>
      </x:c>
      <x:c r="C11" s="20" t="str">
        <x:v>SC-012</x:v>
      </x:c>
      <x:c r="D11" s="20" t="str">
        <x:v>Assumed</x:v>
      </x:c>
      <x:c r="E11" s="38" t="n">
        <x:v>1</x:v>
      </x:c>
      <x:c r="F11" s="38" t="n">
        <x:v>3</x:v>
      </x:c>
      <x:c r="G11" s="38" t="n">
        <x:v>4</x:v>
      </x:c>
      <x:c r="H11" s="38" t="n">
        <x:v>3</x:v>
      </x:c>
      <x:c r="I11" s="38" t="n">
        <x:v>5</x:v>
      </x:c>
      <x:c r="J11" s="38" t="n">
        <x:v>3</x:v>
      </x:c>
      <x:c r="K11" s="20" t="str">
        <x:v>W internal</x:v>
      </x:c>
      <x:c r="L11" s="38" t="n">
        <x:v>0</x:v>
      </x:c>
      <x:c r="M11" s="20" t="str">
        <x:v>A-033; interface implementation open</x:v>
      </x:c>
    </x:row>
    <x:row r="12" ht="42" customHeight="1">
      <x:c r="A12" s="19" t="str">
        <x:v>PB-006</x:v>
      </x:c>
      <x:c r="B12" s="19" t="str">
        <x:v>Wi-Fi 6 / BLE</x:v>
      </x:c>
      <x:c r="C12" s="19" t="str">
        <x:v>SC-016</x:v>
      </x:c>
      <x:c r="D12" s="19" t="str">
        <x:v>Assumed</x:v>
      </x:c>
      <x:c r="E12" s="39" t="n">
        <x:v>0.3</x:v>
      </x:c>
      <x:c r="F12" s="39" t="n">
        <x:v>1</x:v>
      </x:c>
      <x:c r="G12" s="39" t="n">
        <x:v>1.5</x:v>
      </x:c>
      <x:c r="H12" s="39" t="n">
        <x:v>1</x:v>
      </x:c>
      <x:c r="I12" s="39" t="n">
        <x:v>1.5</x:v>
      </x:c>
      <x:c r="J12" s="39" t="n">
        <x:v>1</x:v>
      </x:c>
      <x:c r="K12" s="19" t="str">
        <x:v>W internal</x:v>
      </x:c>
      <x:c r="L12" s="39" t="n">
        <x:v>0</x:v>
      </x:c>
      <x:c r="M12" s="19" t="str">
        <x:v>A-033; Dixie Wi-Fi module was 3.825 W reference</x:v>
      </x:c>
    </x:row>
    <x:row r="13" ht="42" customHeight="1">
      <x:c r="A13" s="20" t="str">
        <x:v>PB-007</x:v>
      </x:c>
      <x:c r="B13" s="20" t="str">
        <x:v>4K camera</x:v>
      </x:c>
      <x:c r="C13" s="20" t="str">
        <x:v>SC-003</x:v>
      </x:c>
      <x:c r="D13" s="20" t="str">
        <x:v>Assumed</x:v>
      </x:c>
      <x:c r="E13" s="38" t="n">
        <x:v>0.3</x:v>
      </x:c>
      <x:c r="F13" s="38" t="n">
        <x:v>1.5</x:v>
      </x:c>
      <x:c r="G13" s="38" t="n">
        <x:v>3</x:v>
      </x:c>
      <x:c r="H13" s="38" t="n">
        <x:v>1.5</x:v>
      </x:c>
      <x:c r="I13" s="38" t="n">
        <x:v>3</x:v>
      </x:c>
      <x:c r="J13" s="38" t="n">
        <x:v>1.5</x:v>
      </x:c>
      <x:c r="K13" s="20" t="str">
        <x:v>W internal</x:v>
      </x:c>
      <x:c r="L13" s="38" t="n">
        <x:v>0</x:v>
      </x:c>
      <x:c r="M13" s="20" t="str">
        <x:v>A-033; camera module not selected</x:v>
      </x:c>
    </x:row>
    <x:row r="14" ht="42" customHeight="1">
      <x:c r="A14" s="19" t="str">
        <x:v>PB-008</x:v>
      </x:c>
      <x:c r="B14" s="19" t="str">
        <x:v>Audio amplifier / speakers</x:v>
      </x:c>
      <x:c r="C14" s="19" t="str">
        <x:v>SC-004; SC-005</x:v>
      </x:c>
      <x:c r="D14" s="19" t="str">
        <x:v>Assumed</x:v>
      </x:c>
      <x:c r="E14" s="39" t="n">
        <x:v>0</x:v>
      </x:c>
      <x:c r="F14" s="39" t="n">
        <x:v>1</x:v>
      </x:c>
      <x:c r="G14" s="39" t="n">
        <x:v>2</x:v>
      </x:c>
      <x:c r="H14" s="39" t="n">
        <x:v>1</x:v>
      </x:c>
      <x:c r="I14" s="39" t="n">
        <x:v>4</x:v>
      </x:c>
      <x:c r="J14" s="39" t="n">
        <x:v>1</x:v>
      </x:c>
      <x:c r="K14" s="19" t="str">
        <x:v>W internal</x:v>
      </x:c>
      <x:c r="L14" s="39" t="n">
        <x:v>0</x:v>
      </x:c>
      <x:c r="M14" s="19" t="str">
        <x:v>A-033; Dixie amplifier test used 1 kHz sine, 1/8 W</x:v>
      </x:c>
    </x:row>
    <x:row r="15" ht="42" customHeight="1">
      <x:c r="A15" s="20" t="str">
        <x:v>PB-009</x:v>
      </x:c>
      <x:c r="B15" s="20" t="str">
        <x:v>Radar / ambient sensor</x:v>
      </x:c>
      <x:c r="C15" s="20" t="str">
        <x:v>SC-014; SC-015</x:v>
      </x:c>
      <x:c r="D15" s="20" t="str">
        <x:v>Assumed</x:v>
      </x:c>
      <x:c r="E15" s="38" t="n">
        <x:v>0.2</x:v>
      </x:c>
      <x:c r="F15" s="38" t="n">
        <x:v>0.5</x:v>
      </x:c>
      <x:c r="G15" s="38" t="n">
        <x:v>0.5</x:v>
      </x:c>
      <x:c r="H15" s="38" t="n">
        <x:v>0.5</x:v>
      </x:c>
      <x:c r="I15" s="38" t="n">
        <x:v>0.5</x:v>
      </x:c>
      <x:c r="J15" s="38" t="n">
        <x:v>0.5</x:v>
      </x:c>
      <x:c r="K15" s="20" t="str">
        <x:v>W internal</x:v>
      </x:c>
      <x:c r="L15" s="38" t="n">
        <x:v>0</x:v>
      </x:c>
      <x:c r="M15" s="20" t="str">
        <x:v>A-033; selected modules unknown</x:v>
      </x:c>
    </x:row>
    <x:row r="16" ht="42" customHeight="1">
      <x:c r="A16" s="19" t="str">
        <x:v>PB-010</x:v>
      </x:c>
      <x:c r="B16" s="19" t="str">
        <x:v>Front lighting</x:v>
      </x:c>
      <x:c r="C16" s="19" t="str">
        <x:v>SC-006; SC-007</x:v>
      </x:c>
      <x:c r="D16" s="19" t="str">
        <x:v>Assumed</x:v>
      </x:c>
      <x:c r="E16" s="39" t="n">
        <x:v>0</x:v>
      </x:c>
      <x:c r="F16" s="39" t="n">
        <x:v>0</x:v>
      </x:c>
      <x:c r="G16" s="39" t="n">
        <x:v>4</x:v>
      </x:c>
      <x:c r="H16" s="39" t="n">
        <x:v>0</x:v>
      </x:c>
      <x:c r="I16" s="39" t="n">
        <x:v>4</x:v>
      </x:c>
      <x:c r="J16" s="39" t="n">
        <x:v>0</x:v>
      </x:c>
      <x:c r="K16" s="19" t="str">
        <x:v>W internal</x:v>
      </x:c>
      <x:c r="L16" s="39" t="n">
        <x:v>0</x:v>
      </x:c>
      <x:c r="M16" s="19" t="str">
        <x:v>A-033; lighting specification open</x:v>
      </x:c>
    </x:row>
    <x:row r="17" ht="42" customHeight="1">
      <x:c r="A17" s="20" t="str">
        <x:v>PB-011</x:v>
      </x:c>
      <x:c r="B17" s="20" t="str">
        <x:v>USB-C PD conversion loss</x:v>
      </x:c>
      <x:c r="C17" s="20" t="str">
        <x:v>SC-011; base A-030</x:v>
      </x:c>
      <x:c r="D17" s="20" t="str">
        <x:v>Derived</x:v>
      </x:c>
      <x:c r="E17" s="38" t="n">
        <x:v>0</x:v>
      </x:c>
      <x:c r="F17" s="38" t="n">
        <x:v>0</x:v>
      </x:c>
      <x:c r="G17" s="38" t="n">
        <x:v>0</x:v>
      </x:c>
      <x:c r="H17" s="38" t="n">
        <x:v>0</x:v>
      </x:c>
      <x:c r="I17" s="38" t="n">
        <x:v>0</x:v>
      </x:c>
      <x:c r="J17" s="38" t="n">
        <x:v>7.8</x:v>
      </x:c>
      <x:c r="K17" s="20" t="str">
        <x:v>W internal</x:v>
      </x:c>
      <x:c r="L17" s="38" t="n">
        <x:v>90</x:v>
      </x:c>
      <x:c r="M17" s="20" t="str">
        <x:v>A-034; 90/0.92 - 90</x:v>
      </x:c>
    </x:row>
    <x:row r="18">
      <x:c r="A18" s="41" t="str">
        <x:v>Total by scenario</x:v>
      </x:c>
      <x:c r="B18" s="41"/>
      <x:c r="C18" s="41"/>
      <x:c r="D18" s="41"/>
      <x:c r="E18" s="42" t="n">
        <x:f>SUM(E7:E17)</x:f>
        <x:v>12.8</x:v>
      </x:c>
      <x:c r="F18" s="42" t="n">
        <x:f>SUM(F7:F17)</x:f>
        <x:v>33</x:v>
      </x:c>
      <x:c r="G18" s="42" t="n">
        <x:f>SUM(G7:G17)</x:f>
        <x:v>47</x:v>
      </x:c>
      <x:c r="H18" s="42" t="n">
        <x:f>SUM(H7:H17)</x:f>
        <x:v>48</x:v>
      </x:c>
      <x:c r="I18" s="42" t="n">
        <x:f>SUM(I7:I17)</x:f>
        <x:v>57</x:v>
      </x:c>
      <x:c r="J18" s="42" t="n">
        <x:f>SUM(J7:J17)</x:f>
        <x:v>40.8</x:v>
      </x:c>
      <x:c r="K18" s="42" t="str">
        <x:v>W internal</x:v>
      </x:c>
      <x:c r="L18" s="42" t="n">
        <x:f>SUM(L7:L17)</x:f>
        <x:v>90</x:v>
      </x:c>
      <x:c r="M18" s="41" t="str">
        <x:v>BYOD external delivery is excluded from internal heat.</x:v>
      </x:c>
    </x:row>
    <x:row r="20">
      <x:c r="A20" s="45" t="str">
        <x:v>BYOD device power demand</x:v>
      </x:c>
      <x:c r="B20" s="46" t="n">
        <x:f>J18+L18</x:f>
        <x:v>130.8</x:v>
      </x:c>
      <x:c r="C20" s="45" t="str">
        <x:v>W</x:v>
      </x:c>
      <x:c r="D20" s="45" t="str">
        <x:v>Internal 40.8 W + laptop-delivered 90 W; concept DC capability before margin.</x:v>
      </x:c>
    </x:row>
    <x:row r="21">
      <x:c r="A21" s="45" t="str">
        <x:v>20% concept sizing margin</x:v>
      </x:c>
      <x:c r="B21" s="46" t="n">
        <x:f>B20*1.2</x:f>
        <x:v>156.96</x:v>
      </x:c>
      <x:c r="C21" s="45" t="str">
        <x:v>W</x:v>
      </x:c>
      <x:c r="D21" s="45" t="str">
        <x:v>Concept evaluation only; final supply rating requires power architecture.</x:v>
      </x:c>
    </x:row>
  </x:sheetData>
  <x:mergeCells>
    <x:mergeCell ref="A1:M1"/>
    <x:mergeCell ref="A2:M2"/>
    <x:mergeCell ref="A18:D1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5" hidden="0" customWidth="1"/>
    <x:col min="4" max="4" width="30" hidden="0" customWidth="1"/>
    <x:col min="5" max="5" width="8" hidden="0" customWidth="1"/>
    <x:col min="6" max="6" width="14" hidden="0" customWidth="1"/>
    <x:col min="7" max="7" width="14" hidden="0" customWidth="1"/>
    <x:col min="8" max="8" width="10" hidden="0" customWidth="1"/>
    <x:col min="9" max="9" width="9" hidden="0" customWidth="1"/>
    <x:col min="10" max="10" width="9" hidden="0" customWidth="1"/>
    <x:col min="11" max="11" width="9" hidden="0" customWidth="1"/>
    <x:col min="12" max="12" width="14" hidden="0" customWidth="1"/>
    <x:col min="13" max="13" width="14" hidden="0" customWidth="1"/>
    <x:col min="14" max="14" width="14" hidden="0" customWidth="1"/>
    <x:col min="15" max="15" width="18" hidden="0" customWidth="1"/>
    <x:col min="16" max="16" width="24" hidden="0" customWidth="1"/>
    <x:col min="17" max="17" width="16" hidden="0" customWidth="1"/>
    <x:col min="18" max="18" width="14" hidden="0" customWidth="1"/>
    <x:col min="19" max="19" width="36" hidden="0" customWidth="1"/>
  </x:cols>
  <x:sheetData>
    <x:row r="1" ht="26" customHeight="1">
      <x:c r="A1" s="26" t="str">
        <x:v>Hinoki Internal Space-Claim Register v0.1</x:v>
      </x:c>
      <x:c r="B1" s="26" t="str">
        <x:v>Hinoki Internal Space-Claim Register v0.1</x:v>
      </x:c>
      <x:c r="C1" s="26" t="str">
        <x:v>Hinoki Internal Space-Claim Register v0.1</x:v>
      </x:c>
      <x:c r="D1" s="26" t="str">
        <x:v>Hinoki Internal Space-Claim Register v0.1</x:v>
      </x:c>
      <x:c r="E1" s="26" t="str">
        <x:v>Hinoki Internal Space-Claim Register v0.1</x:v>
      </x:c>
      <x:c r="F1" s="26" t="str">
        <x:v>Hinoki Internal Space-Claim Register v0.1</x:v>
      </x:c>
      <x:c r="G1" s="26" t="str">
        <x:v>Hinoki Internal Space-Claim Register v0.1</x:v>
      </x:c>
      <x:c r="H1" s="26" t="str">
        <x:v>Hinoki Internal Space-Claim Register v0.1</x:v>
      </x:c>
      <x:c r="I1" s="26" t="str">
        <x:v>Hinoki Internal Space-Claim Register v0.1</x:v>
      </x:c>
      <x:c r="J1" s="26" t="str">
        <x:v>Hinoki Internal Space-Claim Register v0.1</x:v>
      </x:c>
      <x:c r="K1" s="26" t="str">
        <x:v>Hinoki Internal Space-Claim Register v0.1</x:v>
      </x:c>
      <x:c r="L1" s="26" t="str">
        <x:v>Hinoki Internal Space-Claim Register v0.1</x:v>
      </x:c>
      <x:c r="M1" s="26" t="str">
        <x:v>Hinoki Internal Space-Claim Register v0.1</x:v>
      </x:c>
      <x:c r="N1" s="26" t="str">
        <x:v>Hinoki Internal Space-Claim Register v0.1</x:v>
      </x:c>
      <x:c r="O1" s="26" t="str">
        <x:v>Hinoki Internal Space-Claim Register v0.1</x:v>
      </x:c>
      <x:c r="P1" s="26" t="str">
        <x:v>Hinoki Internal Space-Claim Register v0.1</x:v>
      </x:c>
      <x:c r="Q1" s="26" t="str">
        <x:v>Hinoki Internal Space-Claim Register v0.1</x:v>
      </x:c>
      <x:c r="R1" s="26" t="str">
        <x:v>Hinoki Internal Space-Claim Register v0.1</x:v>
      </x:c>
      <x:c r="S1" s="26" t="str">
        <x:v>Hinoki Internal Space-Claim Register v0.1</x:v>
      </x:c>
    </x:row>
    <x:row r="2" ht="30" customHeight="1">
      <x:c r="A2" s="30" t="str">
        <x:v>Pre-CAD packaging register. Values are Assumed reservations, not released dimensions. Datum: head center; X right, Y up, Z rearward; head envelope from front Z=0 to rear Z=80 mm.</x:v>
      </x:c>
      <x:c r="B2" s="30" t="str">
        <x:v>Pre-CAD packaging register. Values are Assumed reservations, not released dimensions. Datum: head center; X right, Y up, Z rearward; head envelope from front Z=0 to rear Z=80 mm.</x:v>
      </x:c>
      <x:c r="C2" s="30" t="str">
        <x:v>Pre-CAD packaging register. Values are Assumed reservations, not released dimensions. Datum: head center; X right, Y up, Z rearward; head envelope from front Z=0 to rear Z=80 mm.</x:v>
      </x:c>
      <x:c r="D2" s="30" t="str">
        <x:v>Pre-CAD packaging register. Values are Assumed reservations, not released dimensions. Datum: head center; X right, Y up, Z rearward; head envelope from front Z=0 to rear Z=80 mm.</x:v>
      </x:c>
      <x:c r="E2" s="30" t="str">
        <x:v>Pre-CAD packaging register. Values are Assumed reservations, not released dimensions. Datum: head center; X right, Y up, Z rearward; head envelope from front Z=0 to rear Z=80 mm.</x:v>
      </x:c>
      <x:c r="F2" s="30" t="str">
        <x:v>Pre-CAD packaging register. Values are Assumed reservations, not released dimensions. Datum: head center; X right, Y up, Z rearward; head envelope from front Z=0 to rear Z=80 mm.</x:v>
      </x:c>
      <x:c r="G2" s="30" t="str">
        <x:v>Pre-CAD packaging register. Values are Assumed reservations, not released dimensions. Datum: head center; X right, Y up, Z rearward; head envelope from front Z=0 to rear Z=80 mm.</x:v>
      </x:c>
      <x:c r="H2" s="30" t="str">
        <x:v>Pre-CAD packaging register. Values are Assumed reservations, not released dimensions. Datum: head center; X right, Y up, Z rearward; head envelope from front Z=0 to rear Z=80 mm.</x:v>
      </x:c>
      <x:c r="I2" s="30" t="str">
        <x:v>Pre-CAD packaging register. Values are Assumed reservations, not released dimensions. Datum: head center; X right, Y up, Z rearward; head envelope from front Z=0 to rear Z=80 mm.</x:v>
      </x:c>
      <x:c r="J2" s="30" t="str">
        <x:v>Pre-CAD packaging register. Values are Assumed reservations, not released dimensions. Datum: head center; X right, Y up, Z rearward; head envelope from front Z=0 to rear Z=80 mm.</x:v>
      </x:c>
      <x:c r="K2" s="30" t="str">
        <x:v>Pre-CAD packaging register. Values are Assumed reservations, not released dimensions. Datum: head center; X right, Y up, Z rearward; head envelope from front Z=0 to rear Z=80 mm.</x:v>
      </x:c>
      <x:c r="L2" s="30" t="str">
        <x:v>Pre-CAD packaging register. Values are Assumed reservations, not released dimensions. Datum: head center; X right, Y up, Z rearward; head envelope from front Z=0 to rear Z=80 mm.</x:v>
      </x:c>
      <x:c r="M2" s="30" t="str">
        <x:v>Pre-CAD packaging register. Values are Assumed reservations, not released dimensions. Datum: head center; X right, Y up, Z rearward; head envelope from front Z=0 to rear Z=80 mm.</x:v>
      </x:c>
      <x:c r="N2" s="30" t="str">
        <x:v>Pre-CAD packaging register. Values are Assumed reservations, not released dimensions. Datum: head center; X right, Y up, Z rearward; head envelope from front Z=0 to rear Z=80 mm.</x:v>
      </x:c>
      <x:c r="O2" s="30" t="str">
        <x:v>Pre-CAD packaging register. Values are Assumed reservations, not released dimensions. Datum: head center; X right, Y up, Z rearward; head envelope from front Z=0 to rear Z=80 mm.</x:v>
      </x:c>
      <x:c r="P2" s="30" t="str">
        <x:v>Pre-CAD packaging register. Values are Assumed reservations, not released dimensions. Datum: head center; X right, Y up, Z rearward; head envelope from front Z=0 to rear Z=80 mm.</x:v>
      </x:c>
      <x:c r="Q2" s="30" t="str">
        <x:v>Pre-CAD packaging register. Values are Assumed reservations, not released dimensions. Datum: head center; X right, Y up, Z rearward; head envelope from front Z=0 to rear Z=80 mm.</x:v>
      </x:c>
      <x:c r="R2" s="30" t="str">
        <x:v>Pre-CAD packaging register. Values are Assumed reservations, not released dimensions. Datum: head center; X right, Y up, Z rearward; head envelope from front Z=0 to rear Z=80 mm.</x:v>
      </x:c>
      <x:c r="S2" s="30" t="str">
        <x:v>Pre-CAD packaging register. Values are Assumed reservations, not released dimensions. Datum: head center; X right, Y up, Z rearward; head envelope from front Z=0 to rear Z=80 mm.</x:v>
      </x:c>
    </x:row>
    <x:row r="4" ht="32" customHeight="1">
      <x:c r="A4" s="49" t="str">
        <x:v>Head envelope W</x:v>
      </x:c>
      <x:c r="B4" s="49" t="str">
        <x:v>Head envelope H</x:v>
      </x:c>
      <x:c r="C4" s="49" t="str">
        <x:v>Head envelope D</x:v>
      </x:c>
      <x:c r="D4" s="49" t="str">
        <x:v>Hard-package minimum clearance</x:v>
      </x:c>
      <x:c r="E4" s="49"/>
      <x:c r="F4" s="49" t="str">
        <x:v>Containment</x:v>
      </x:c>
      <x:c r="G4" s="49" t="str">
        <x:v>Hard-package collision</x:v>
      </x:c>
    </x:row>
    <x:row r="5">
      <x:c r="A5" s="49" t="n">
        <x:v>760</x:v>
      </x:c>
      <x:c r="B5" s="49" t="n">
        <x:v>540</x:v>
      </x:c>
      <x:c r="C5" s="49" t="n">
        <x:v>80</x:v>
      </x:c>
      <x:c r="D5" s="49" t="n">
        <x:v>5</x:v>
      </x:c>
      <x:c r="E5" s="49"/>
      <x:c r="F5" s="49" t="str">
        <x:f>IF(COUNTIF(N8:N25,"Fail")=0,"Pass","Fail")</x:f>
        <x:v>Pass</x:v>
      </x:c>
      <x:c r="G5" s="55" t="str">
        <x:v>Pass</x:v>
      </x:c>
    </x:row>
    <x:row r="7" ht="34" customHeight="1">
      <x:c r="A7" s="36" t="str">
        <x:v>Claim ID</x:v>
      </x:c>
      <x:c r="B7" s="36" t="str">
        <x:v>Zone</x:v>
      </x:c>
      <x:c r="C7" s="36" t="str">
        <x:v>Claim Type</x:v>
      </x:c>
      <x:c r="D7" s="36" t="str">
        <x:v>Module</x:v>
      </x:c>
      <x:c r="E7" s="36" t="str">
        <x:v>Qty</x:v>
      </x:c>
      <x:c r="F7" s="36" t="str">
        <x:v>Center X</x:v>
      </x:c>
      <x:c r="G7" s="36" t="str">
        <x:v>Center Y</x:v>
      </x:c>
      <x:c r="H7" s="36" t="str">
        <x:v>Center Z</x:v>
      </x:c>
      <x:c r="I7" s="36" t="str">
        <x:v>W</x:v>
      </x:c>
      <x:c r="J7" s="36" t="str">
        <x:v>H</x:v>
      </x:c>
      <x:c r="K7" s="36" t="str">
        <x:v>D</x:v>
      </x:c>
      <x:c r="L7" s="36" t="str">
        <x:v>Unit Volume</x:v>
      </x:c>
      <x:c r="M7" s="36" t="str">
        <x:v>Total Volume</x:v>
      </x:c>
      <x:c r="N7" s="36" t="str">
        <x:v>Containment</x:v>
      </x:c>
      <x:c r="O7" s="36" t="str">
        <x:v>Clearance / Check</x:v>
      </x:c>
      <x:c r="P7" s="36" t="str">
        <x:v>Source MP IDs</x:v>
      </x:c>
      <x:c r="Q7" s="36" t="str">
        <x:v>Assumption IDs</x:v>
      </x:c>
      <x:c r="R7" s="36" t="str">
        <x:v>CAD-driving?</x:v>
      </x:c>
      <x:c r="S7" s="36" t="str">
        <x:v>Notes</x:v>
      </x:c>
    </x:row>
    <x:row r="8" ht="42" customHeight="1">
      <x:c r="A8" s="20" t="str">
        <x:v>SC-001</x:v>
      </x:c>
      <x:c r="B8" s="20" t="str">
        <x:v>Front</x:v>
      </x:c>
      <x:c r="C8" s="20" t="str">
        <x:v>Hard package</x:v>
      </x:c>
      <x:c r="D8" s="20" t="str">
        <x:v>Display + touch stack</x:v>
      </x:c>
      <x:c r="E8" s="20" t="n">
        <x:v>1</x:v>
      </x:c>
      <x:c r="F8" s="38" t="n">
        <x:v>0</x:v>
      </x:c>
      <x:c r="G8" s="38" t="n">
        <x:v>0</x:v>
      </x:c>
      <x:c r="H8" s="38" t="n">
        <x:v>9</x:v>
      </x:c>
      <x:c r="I8" s="38" t="n">
        <x:v>730</x:v>
      </x:c>
      <x:c r="J8" s="38" t="n">
        <x:v>420</x:v>
      </x:c>
      <x:c r="K8" s="38" t="n">
        <x:v>18</x:v>
      </x:c>
      <x:c r="L8" s="38" t="n">
        <x:f>I8*J8*K8</x:f>
        <x:v>5518800</x:v>
      </x:c>
      <x:c r="M8" s="38" t="n">
        <x:f>L8*E8</x:f>
        <x:v>5518800</x:v>
      </x:c>
      <x:c r="N8" s="37" t="str">
        <x:f>IF(AND(ABS(F8)+I8/2&lt;=$A$5/2,ABS(G8)+J8/2&lt;=$B$5/2,H8-K8/2&gt;=0,H8+K8/2&lt;=$C$5),"Pass","Fail")</x:f>
        <x:v>Pass</x:v>
      </x:c>
      <x:c r="O8" s="21" t="str">
        <x:v>Pass</x:v>
      </x:c>
      <x:c r="P8" s="20" t="str">
        <x:v>MP-002–MP-010</x:v>
      </x:c>
      <x:c r="Q8" s="20" t="str">
        <x:v>A-014</x:v>
      </x:c>
      <x:c r="R8" s="20" t="str">
        <x:v>Yes</x:v>
      </x:c>
      <x:c r="S8" s="20" t="str">
        <x:v>Panel selection required before release.</x:v>
      </x:c>
    </x:row>
    <x:row r="9" ht="42" customHeight="1">
      <x:c r="A9" s="19" t="str">
        <x:v>SC-002</x:v>
      </x:c>
      <x:c r="B9" s="19" t="str">
        <x:v>Upper</x:v>
      </x:c>
      <x:c r="C9" s="19" t="str">
        <x:v>Keep-out</x:v>
      </x:c>
      <x:c r="D9" s="19" t="str">
        <x:v>Upper AV / acoustic bar</x:v>
      </x:c>
      <x:c r="E9" s="19" t="n">
        <x:v>1</x:v>
      </x:c>
      <x:c r="F9" s="39" t="n">
        <x:v>0</x:v>
      </x:c>
      <x:c r="G9" s="39" t="n">
        <x:v>227.5</x:v>
      </x:c>
      <x:c r="H9" s="39" t="n">
        <x:v>40</x:v>
      </x:c>
      <x:c r="I9" s="39" t="n">
        <x:v>760</x:v>
      </x:c>
      <x:c r="J9" s="39" t="n">
        <x:v>85</x:v>
      </x:c>
      <x:c r="K9" s="39" t="n">
        <x:v>80</x:v>
      </x:c>
      <x:c r="L9" s="39" t="n">
        <x:f>I9*J9*K9</x:f>
        <x:v>5168000</x:v>
      </x:c>
      <x:c r="M9" s="39" t="n">
        <x:f>L9*E9</x:f>
        <x:v>5168000</x:v>
      </x:c>
      <x:c r="N9" s="37" t="str">
        <x:f>IF(AND(ABS(F9)+I9/2&lt;=$A$5/2,ABS(G9)+J9/2&lt;=$B$5/2,H9-K9/2&gt;=0,H9+K9/2&lt;=$C$5),"Pass","Fail")</x:f>
        <x:v>Pass</x:v>
      </x:c>
      <x:c r="O9" s="21" t="str">
        <x:v>Keep-out</x:v>
      </x:c>
      <x:c r="P9" s="19" t="str">
        <x:v>MP-020–MP-046</x:v>
      </x:c>
      <x:c r="Q9" s="19" t="str">
        <x:v>A-015</x:v>
      </x:c>
      <x:c r="R9" s="19" t="str">
        <x:v>Yes</x:v>
      </x:c>
      <x:c r="S9" s="19" t="str">
        <x:v>Zone overlaps its contained top-bar packages by intent.</x:v>
      </x:c>
    </x:row>
    <x:row r="10" ht="42" customHeight="1">
      <x:c r="A10" s="20" t="str">
        <x:v>SC-003</x:v>
      </x:c>
      <x:c r="B10" s="20" t="str">
        <x:v>Upper center</x:v>
      </x:c>
      <x:c r="C10" s="20" t="str">
        <x:v>Hard package</x:v>
      </x:c>
      <x:c r="D10" s="20" t="str">
        <x:v>4K camera + manual shutter</x:v>
      </x:c>
      <x:c r="E10" s="20" t="n">
        <x:v>1</x:v>
      </x:c>
      <x:c r="F10" s="38" t="n">
        <x:v>0</x:v>
      </x:c>
      <x:c r="G10" s="38" t="n">
        <x:v>225</x:v>
      </x:c>
      <x:c r="H10" s="38" t="n">
        <x:v>44</x:v>
      </x:c>
      <x:c r="I10" s="38" t="n">
        <x:v>120</x:v>
      </x:c>
      <x:c r="J10" s="38" t="n">
        <x:v>55</x:v>
      </x:c>
      <x:c r="K10" s="38" t="n">
        <x:v>42</x:v>
      </x:c>
      <x:c r="L10" s="38" t="n">
        <x:f>I10*J10*K10</x:f>
        <x:v>277200</x:v>
      </x:c>
      <x:c r="M10" s="38" t="n">
        <x:f>L10*E10</x:f>
        <x:v>277200</x:v>
      </x:c>
      <x:c r="N10" s="37" t="str">
        <x:f>IF(AND(ABS(F10)+I10/2&lt;=$A$5/2,ABS(G10)+J10/2&lt;=$B$5/2,H10-K10/2&gt;=0,H10+K10/2&lt;=$C$5),"Pass","Fail")</x:f>
        <x:v>Pass</x:v>
      </x:c>
      <x:c r="O10" s="21" t="str">
        <x:v>Pass</x:v>
      </x:c>
      <x:c r="P10" s="20" t="str">
        <x:v>MP-020–MP-025</x:v>
      </x:c>
      <x:c r="Q10" s="20" t="str">
        <x:v>A-016</x:v>
      </x:c>
      <x:c r="R10" s="20" t="str">
        <x:v>Yes</x:v>
      </x:c>
      <x:c r="S10" s="20" t="str">
        <x:v>Camera optical axis on X=0; protect 140° FOV.</x:v>
      </x:c>
    </x:row>
    <x:row r="11" ht="42" customHeight="1">
      <x:c r="A11" s="19" t="str">
        <x:v>SC-004</x:v>
      </x:c>
      <x:c r="B11" s="19" t="str">
        <x:v>Upper left</x:v>
      </x:c>
      <x:c r="C11" s="19" t="str">
        <x:v>Hard package</x:v>
      </x:c>
      <x:c r="D11" s="19" t="str">
        <x:v>Upper speaker — left</x:v>
      </x:c>
      <x:c r="E11" s="19" t="n">
        <x:v>1</x:v>
      </x:c>
      <x:c r="F11" s="39" t="n">
        <x:v>-252</x:v>
      </x:c>
      <x:c r="G11" s="39" t="n">
        <x:v>225</x:v>
      </x:c>
      <x:c r="H11" s="39" t="n">
        <x:v>43</x:v>
      </x:c>
      <x:c r="I11" s="39" t="n">
        <x:v>170</x:v>
      </x:c>
      <x:c r="J11" s="39" t="n">
        <x:v>55</x:v>
      </x:c>
      <x:c r="K11" s="39" t="n">
        <x:v>40</x:v>
      </x:c>
      <x:c r="L11" s="39" t="n">
        <x:f>I11*J11*K11</x:f>
        <x:v>374000</x:v>
      </x:c>
      <x:c r="M11" s="39" t="n">
        <x:f>L11*E11</x:f>
        <x:v>374000</x:v>
      </x:c>
      <x:c r="N11" s="37" t="str">
        <x:f>IF(AND(ABS(F11)+I11/2&lt;=$A$5/2,ABS(G11)+J11/2&lt;=$B$5/2,H11-K11/2&gt;=0,H11+K11/2&lt;=$C$5),"Pass","Fail")</x:f>
        <x:v>Pass</x:v>
      </x:c>
      <x:c r="O11" s="21" t="str">
        <x:v>Pass</x:v>
      </x:c>
      <x:c r="P11" s="19" t="str">
        <x:v>MP-030</x:v>
      </x:c>
      <x:c r="Q11" s="19" t="str">
        <x:v>A-017</x:v>
      </x:c>
      <x:c r="R11" s="19" t="str">
        <x:v>Yes</x:v>
      </x:c>
      <x:c r="S11" s="19" t="str">
        <x:v>Independent upper enclosure.</x:v>
      </x:c>
    </x:row>
    <x:row r="12" ht="42" customHeight="1">
      <x:c r="A12" s="20" t="str">
        <x:v>SC-005</x:v>
      </x:c>
      <x:c r="B12" s="20" t="str">
        <x:v>Upper right</x:v>
      </x:c>
      <x:c r="C12" s="20" t="str">
        <x:v>Hard package</x:v>
      </x:c>
      <x:c r="D12" s="20" t="str">
        <x:v>Upper speaker — right</x:v>
      </x:c>
      <x:c r="E12" s="20" t="n">
        <x:v>1</x:v>
      </x:c>
      <x:c r="F12" s="38" t="n">
        <x:v>252</x:v>
      </x:c>
      <x:c r="G12" s="38" t="n">
        <x:v>225</x:v>
      </x:c>
      <x:c r="H12" s="38" t="n">
        <x:v>43</x:v>
      </x:c>
      <x:c r="I12" s="38" t="n">
        <x:v>170</x:v>
      </x:c>
      <x:c r="J12" s="38" t="n">
        <x:v>55</x:v>
      </x:c>
      <x:c r="K12" s="38" t="n">
        <x:v>40</x:v>
      </x:c>
      <x:c r="L12" s="38" t="n">
        <x:f>I12*J12*K12</x:f>
        <x:v>374000</x:v>
      </x:c>
      <x:c r="M12" s="38" t="n">
        <x:f>L12*E12</x:f>
        <x:v>374000</x:v>
      </x:c>
      <x:c r="N12" s="37" t="str">
        <x:f>IF(AND(ABS(F12)+I12/2&lt;=$A$5/2,ABS(G12)+J12/2&lt;=$B$5/2,H12-K12/2&gt;=0,H12+K12/2&lt;=$C$5),"Pass","Fail")</x:f>
        <x:v>Pass</x:v>
      </x:c>
      <x:c r="O12" s="21" t="str">
        <x:v>Pass</x:v>
      </x:c>
      <x:c r="P12" s="20" t="str">
        <x:v>MP-030</x:v>
      </x:c>
      <x:c r="Q12" s="20" t="str">
        <x:v>A-017</x:v>
      </x:c>
      <x:c r="R12" s="20" t="str">
        <x:v>Yes</x:v>
      </x:c>
      <x:c r="S12" s="20" t="str">
        <x:v>Independent upper enclosure.</x:v>
      </x:c>
    </x:row>
    <x:row r="13" ht="42" customHeight="1">
      <x:c r="A13" s="19" t="str">
        <x:v>SC-006</x:v>
      </x:c>
      <x:c r="B13" s="19" t="str">
        <x:v>Upper left</x:v>
      </x:c>
      <x:c r="C13" s="19" t="str">
        <x:v>Hard package</x:v>
      </x:c>
      <x:c r="D13" s="19" t="str">
        <x:v>Front light — left</x:v>
      </x:c>
      <x:c r="E13" s="19" t="n">
        <x:v>1</x:v>
      </x:c>
      <x:c r="F13" s="39" t="n">
        <x:v>-97.5</x:v>
      </x:c>
      <x:c r="G13" s="39" t="n">
        <x:v>225</x:v>
      </x:c>
      <x:c r="H13" s="39" t="n">
        <x:v>12.5</x:v>
      </x:c>
      <x:c r="I13" s="39" t="n">
        <x:v>55</x:v>
      </x:c>
      <x:c r="J13" s="39" t="n">
        <x:v>12</x:v>
      </x:c>
      <x:c r="K13" s="39" t="n">
        <x:v>15</x:v>
      </x:c>
      <x:c r="L13" s="39" t="n">
        <x:f>I13*J13*K13</x:f>
        <x:v>9900</x:v>
      </x:c>
      <x:c r="M13" s="39" t="n">
        <x:f>L13*E13</x:f>
        <x:v>9900</x:v>
      </x:c>
      <x:c r="N13" s="37" t="str">
        <x:f>IF(AND(ABS(F13)+I13/2&lt;=$A$5/2,ABS(G13)+J13/2&lt;=$B$5/2,H13-K13/2&gt;=0,H13+K13/2&lt;=$C$5),"Pass","Fail")</x:f>
        <x:v>Pass</x:v>
      </x:c>
      <x:c r="O13" s="21" t="str">
        <x:v>Pass</x:v>
      </x:c>
      <x:c r="P13" s="19" t="str">
        <x:v>MP-045; MP-046</x:v>
      </x:c>
      <x:c r="Q13" s="19" t="str">
        <x:v>A-018</x:v>
      </x:c>
      <x:c r="R13" s="19" t="str">
        <x:v>Yes</x:v>
      </x:c>
      <x:c r="S13" s="19" t="str">
        <x:v>Maintain 140° camera-FOV keep-out.</x:v>
      </x:c>
    </x:row>
    <x:row r="14" ht="42" customHeight="1">
      <x:c r="A14" s="20" t="str">
        <x:v>SC-007</x:v>
      </x:c>
      <x:c r="B14" s="20" t="str">
        <x:v>Upper right</x:v>
      </x:c>
      <x:c r="C14" s="20" t="str">
        <x:v>Hard package</x:v>
      </x:c>
      <x:c r="D14" s="20" t="str">
        <x:v>Front light — right</x:v>
      </x:c>
      <x:c r="E14" s="20" t="n">
        <x:v>1</x:v>
      </x:c>
      <x:c r="F14" s="38" t="n">
        <x:v>97.5</x:v>
      </x:c>
      <x:c r="G14" s="38" t="n">
        <x:v>225</x:v>
      </x:c>
      <x:c r="H14" s="38" t="n">
        <x:v>12.5</x:v>
      </x:c>
      <x:c r="I14" s="38" t="n">
        <x:v>55</x:v>
      </x:c>
      <x:c r="J14" s="38" t="n">
        <x:v>12</x:v>
      </x:c>
      <x:c r="K14" s="38" t="n">
        <x:v>15</x:v>
      </x:c>
      <x:c r="L14" s="38" t="n">
        <x:f>I14*J14*K14</x:f>
        <x:v>9900</x:v>
      </x:c>
      <x:c r="M14" s="38" t="n">
        <x:f>L14*E14</x:f>
        <x:v>9900</x:v>
      </x:c>
      <x:c r="N14" s="37" t="str">
        <x:f>IF(AND(ABS(F14)+I14/2&lt;=$A$5/2,ABS(G14)+J14/2&lt;=$B$5/2,H14-K14/2&gt;=0,H14+K14/2&lt;=$C$5),"Pass","Fail")</x:f>
        <x:v>Pass</x:v>
      </x:c>
      <x:c r="O14" s="21" t="str">
        <x:v>Pass</x:v>
      </x:c>
      <x:c r="P14" s="20" t="str">
        <x:v>MP-045; MP-046</x:v>
      </x:c>
      <x:c r="Q14" s="20" t="str">
        <x:v>A-018</x:v>
      </x:c>
      <x:c r="R14" s="20" t="str">
        <x:v>Yes</x:v>
      </x:c>
      <x:c r="S14" s="20" t="str">
        <x:v>Maintain 140° camera-FOV keep-out.</x:v>
      </x:c>
    </x:row>
    <x:row r="15" ht="42" customHeight="1">
      <x:c r="A15" s="19" t="str">
        <x:v>SC-008</x:v>
      </x:c>
      <x:c r="B15" s="19" t="str">
        <x:v>Upper outer</x:v>
      </x:c>
      <x:c r="C15" s="19" t="str">
        <x:v>Keep-out</x:v>
      </x:c>
      <x:c r="D15" s="19" t="str">
        <x:v>Microphone regions — left/right</x:v>
      </x:c>
      <x:c r="E15" s="19" t="n">
        <x:v>2</x:v>
      </x:c>
      <x:c r="F15" s="39" t="n">
        <x:v>-145</x:v>
      </x:c>
      <x:c r="G15" s="39" t="n">
        <x:v>245</x:v>
      </x:c>
      <x:c r="H15" s="39" t="n">
        <x:v>6</x:v>
      </x:c>
      <x:c r="I15" s="39" t="n">
        <x:v>20</x:v>
      </x:c>
      <x:c r="J15" s="39" t="n">
        <x:v>15</x:v>
      </x:c>
      <x:c r="K15" s="39" t="n">
        <x:v>12</x:v>
      </x:c>
      <x:c r="L15" s="39" t="n">
        <x:f>I15*J15*K15</x:f>
        <x:v>3600</x:v>
      </x:c>
      <x:c r="M15" s="39" t="n">
        <x:f>L15*E15</x:f>
        <x:v>7200</x:v>
      </x:c>
      <x:c r="N15" s="37" t="str">
        <x:f>IF(AND(ABS(F15)+I15/2&lt;=$A$5/2,ABS(G15)+J15/2&lt;=$B$5/2,H15-K15/2&gt;=0,H15+K15/2&lt;=$C$5),"Pass","Fail")</x:f>
        <x:v>Pass</x:v>
      </x:c>
      <x:c r="O15" s="21" t="str">
        <x:v>Keep-out</x:v>
      </x:c>
      <x:c r="P15" s="19" t="str">
        <x:v>MP-030</x:v>
      </x:c>
      <x:c r="Q15" s="19" t="str">
        <x:v>A-026</x:v>
      </x:c>
      <x:c r="R15" s="19" t="str">
        <x:v>Yes</x:v>
      </x:c>
      <x:c r="S15" s="19" t="str">
        <x:v>Mirrored location; protect forward acoustic path.</x:v>
      </x:c>
    </x:row>
    <x:row r="16" ht="42" customHeight="1">
      <x:c r="A16" s="20" t="str">
        <x:v>SC-009</x:v>
      </x:c>
      <x:c r="B16" s="20" t="str">
        <x:v>Central rear</x:v>
      </x:c>
      <x:c r="C16" s="20" t="str">
        <x:v>Hard package</x:v>
      </x:c>
      <x:c r="D16" s="20" t="str">
        <x:v>QC7790 SOM + heat spreader</x:v>
      </x:c>
      <x:c r="E16" s="20" t="n">
        <x:v>1</x:v>
      </x:c>
      <x:c r="F16" s="38" t="n">
        <x:v>0</x:v>
      </x:c>
      <x:c r="G16" s="38" t="n">
        <x:v>0</x:v>
      </x:c>
      <x:c r="H16" s="38" t="n">
        <x:v>39</x:v>
      </x:c>
      <x:c r="I16" s="38" t="n">
        <x:v>200</x:v>
      </x:c>
      <x:c r="J16" s="38" t="n">
        <x:v>120</x:v>
      </x:c>
      <x:c r="K16" s="38" t="n">
        <x:v>32</x:v>
      </x:c>
      <x:c r="L16" s="38" t="n">
        <x:f>I16*J16*K16</x:f>
        <x:v>768000</x:v>
      </x:c>
      <x:c r="M16" s="38" t="n">
        <x:f>L16*E16</x:f>
        <x:v>768000</x:v>
      </x:c>
      <x:c r="N16" s="37" t="str">
        <x:f>IF(AND(ABS(F16)+I16/2&lt;=$A$5/2,ABS(G16)+J16/2&lt;=$B$5/2,H16-K16/2&gt;=0,H16+K16/2&lt;=$C$5),"Pass","Fail")</x:f>
        <x:v>Pass</x:v>
      </x:c>
      <x:c r="O16" s="21" t="str">
        <x:v>Pass</x:v>
      </x:c>
      <x:c r="P16" s="20" t="str">
        <x:v>MP-027; MP-052–MP-055</x:v>
      </x:c>
      <x:c r="Q16" s="20" t="str">
        <x:v>A-019</x:v>
      </x:c>
      <x:c r="R16" s="20" t="str">
        <x:v>Yes</x:v>
      </x:c>
      <x:c r="S16" s="20" t="str">
        <x:v>Conduction path to mid-frame/rear structure.</x:v>
      </x:c>
    </x:row>
    <x:row r="17" ht="42" customHeight="1">
      <x:c r="A17" s="19" t="str">
        <x:v>SC-010</x:v>
      </x:c>
      <x:c r="B17" s="19" t="str">
        <x:v>Lower central rear</x:v>
      </x:c>
      <x:c r="C17" s="19" t="str">
        <x:v>Hard package</x:v>
      </x:c>
      <x:c r="D17" s="19" t="str">
        <x:v>Main PCB</x:v>
      </x:c>
      <x:c r="E17" s="19" t="n">
        <x:v>1</x:v>
      </x:c>
      <x:c r="F17" s="39" t="n">
        <x:v>0</x:v>
      </x:c>
      <x:c r="G17" s="39" t="n">
        <x:v>-125</x:v>
      </x:c>
      <x:c r="H17" s="39" t="n">
        <x:v>47.5</x:v>
      </x:c>
      <x:c r="I17" s="39" t="n">
        <x:v>260</x:v>
      </x:c>
      <x:c r="J17" s="39" t="n">
        <x:v>100</x:v>
      </x:c>
      <x:c r="K17" s="39" t="n">
        <x:v>15</x:v>
      </x:c>
      <x:c r="L17" s="39" t="n">
        <x:f>I17*J17*K17</x:f>
        <x:v>390000</x:v>
      </x:c>
      <x:c r="M17" s="39" t="n">
        <x:f>L17*E17</x:f>
        <x:v>390000</x:v>
      </x:c>
      <x:c r="N17" s="37" t="str">
        <x:f>IF(AND(ABS(F17)+I17/2&lt;=$A$5/2,ABS(G17)+J17/2&lt;=$B$5/2,H17-K17/2&gt;=0,H17+K17/2&lt;=$C$5),"Pass","Fail")</x:f>
        <x:v>Pass</x:v>
      </x:c>
      <x:c r="O17" s="21" t="str">
        <x:v>Pass</x:v>
      </x:c>
      <x:c r="P17" s="19" t="str">
        <x:v>MP-027; MP-033–MP-042</x:v>
      </x:c>
      <x:c r="Q17" s="19" t="str">
        <x:v>A-023</x:v>
      </x:c>
      <x:c r="R17" s="19" t="str">
        <x:v>Yes</x:v>
      </x:c>
      <x:c r="S17" s="19" t="str">
        <x:v>Carrier electronics reservation.</x:v>
      </x:c>
    </x:row>
    <x:row r="18" ht="42" customHeight="1">
      <x:c r="A18" s="20" t="str">
        <x:v>SC-011</x:v>
      </x:c>
      <x:c r="B18" s="20" t="str">
        <x:v>Lower right rear</x:v>
      </x:c>
      <x:c r="C18" s="20" t="str">
        <x:v>Hard package</x:v>
      </x:c>
      <x:c r="D18" s="20" t="str">
        <x:v>USB-C interface / protection PCB</x:v>
      </x:c>
      <x:c r="E18" s="20" t="n">
        <x:v>1</x:v>
      </x:c>
      <x:c r="F18" s="38" t="n">
        <x:v>260</x:v>
      </x:c>
      <x:c r="G18" s="38" t="n">
        <x:v>-205</x:v>
      </x:c>
      <x:c r="H18" s="38" t="n">
        <x:v>52</x:v>
      </x:c>
      <x:c r="I18" s="38" t="n">
        <x:v>120</x:v>
      </x:c>
      <x:c r="J18" s="38" t="n">
        <x:v>75</x:v>
      </x:c>
      <x:c r="K18" s="38" t="n">
        <x:v>24</x:v>
      </x:c>
      <x:c r="L18" s="38" t="n">
        <x:f>I18*J18*K18</x:f>
        <x:v>216000</x:v>
      </x:c>
      <x:c r="M18" s="38" t="n">
        <x:f>L18*E18</x:f>
        <x:v>216000</x:v>
      </x:c>
      <x:c r="N18" s="37" t="str">
        <x:f>IF(AND(ABS(F18)+I18/2&lt;=$A$5/2,ABS(G18)+J18/2&lt;=$B$5/2,H18-K18/2&gt;=0,H18+K18/2&lt;=$C$5),"Pass","Fail")</x:f>
        <x:v>Pass</x:v>
      </x:c>
      <x:c r="O18" s="21" t="str">
        <x:v>Pass</x:v>
      </x:c>
      <x:c r="P18" s="20" t="str">
        <x:v>MP-035; MP-036</x:v>
      </x:c>
      <x:c r="Q18" s="20" t="str">
        <x:v>A-020</x:v>
      </x:c>
      <x:c r="R18" s="20" t="str">
        <x:v>Yes</x:v>
      </x:c>
      <x:c r="S18" s="20" t="str">
        <x:v>Bulk PD stays in stand base.</x:v>
      </x:c>
    </x:row>
    <x:row r="19" ht="42" customHeight="1">
      <x:c r="A19" s="19" t="str">
        <x:v>SC-012</x:v>
      </x:c>
      <x:c r="B19" s="19" t="str">
        <x:v>Lower rear</x:v>
      </x:c>
      <x:c r="C19" s="19" t="str">
        <x:v>Hard package</x:v>
      </x:c>
      <x:c r="D19" s="19" t="str">
        <x:v>Rear I/O PCB</x:v>
      </x:c>
      <x:c r="E19" s="19" t="n">
        <x:v>1</x:v>
      </x:c>
      <x:c r="F19" s="39" t="n">
        <x:v>0</x:v>
      </x:c>
      <x:c r="G19" s="39" t="n">
        <x:v>-210</x:v>
      </x:c>
      <x:c r="H19" s="39" t="n">
        <x:v>60</x:v>
      </x:c>
      <x:c r="I19" s="39" t="n">
        <x:v>220</x:v>
      </x:c>
      <x:c r="J19" s="39" t="n">
        <x:v>60</x:v>
      </x:c>
      <x:c r="K19" s="39" t="n">
        <x:v>24</x:v>
      </x:c>
      <x:c r="L19" s="39" t="n">
        <x:f>I19*J19*K19</x:f>
        <x:v>316800</x:v>
      </x:c>
      <x:c r="M19" s="39" t="n">
        <x:f>L19*E19</x:f>
        <x:v>316800</x:v>
      </x:c>
      <x:c r="N19" s="37" t="str">
        <x:f>IF(AND(ABS(F19)+I19/2&lt;=$A$5/2,ABS(G19)+J19/2&lt;=$B$5/2,H19-K19/2&gt;=0,H19+K19/2&lt;=$C$5),"Pass","Fail")</x:f>
        <x:v>Pass</x:v>
      </x:c>
      <x:c r="O19" s="21" t="str">
        <x:v>Pass</x:v>
      </x:c>
      <x:c r="P19" s="19" t="str">
        <x:v>MP-033–MP-038</x:v>
      </x:c>
      <x:c r="Q19" s="19" t="str">
        <x:v>A-021</x:v>
      </x:c>
      <x:c r="R19" s="19" t="str">
        <x:v>Yes</x:v>
      </x:c>
      <x:c r="S19" s="19" t="str">
        <x:v>Service I/O accessible from rear cover.</x:v>
      </x:c>
    </x:row>
    <x:row r="20" ht="42" customHeight="1">
      <x:c r="A20" s="20" t="str">
        <x:v>SC-013</x:v>
      </x:c>
      <x:c r="B20" s="20" t="str">
        <x:v>Central rear</x:v>
      </x:c>
      <x:c r="C20" s="20" t="str">
        <x:v>Structural</x:v>
      </x:c>
      <x:c r="D20" s="20" t="str">
        <x:v>VESA reinforcement</x:v>
      </x:c>
      <x:c r="E20" s="20" t="n">
        <x:v>1</x:v>
      </x:c>
      <x:c r="F20" s="38" t="n">
        <x:v>0</x:v>
      </x:c>
      <x:c r="G20" s="38" t="n">
        <x:v>0</x:v>
      </x:c>
      <x:c r="H20" s="38" t="n">
        <x:v>71</x:v>
      </x:c>
      <x:c r="I20" s="38" t="n">
        <x:v>180</x:v>
      </x:c>
      <x:c r="J20" s="38" t="n">
        <x:v>180</x:v>
      </x:c>
      <x:c r="K20" s="38" t="n">
        <x:v>18</x:v>
      </x:c>
      <x:c r="L20" s="38" t="n">
        <x:f>I20*J20*K20</x:f>
        <x:v>583200</x:v>
      </x:c>
      <x:c r="M20" s="38" t="n">
        <x:f>L20*E20</x:f>
        <x:v>583200</x:v>
      </x:c>
      <x:c r="N20" s="37" t="str">
        <x:f>IF(AND(ABS(F20)+I20/2&lt;=$A$5/2,ABS(G20)+J20/2&lt;=$B$5/2,H20-K20/2&gt;=0,H20+K20/2&lt;=$C$5),"Pass","Fail")</x:f>
        <x:v>Pass</x:v>
      </x:c>
      <x:c r="O20" s="21" t="str">
        <x:v>Pass</x:v>
      </x:c>
      <x:c r="P20" s="20" t="str">
        <x:v>MP-047–MP-051</x:v>
      </x:c>
      <x:c r="Q20" s="20" t="str">
        <x:v>A-022; A-010</x:v>
      </x:c>
      <x:c r="R20" s="20" t="str">
        <x:v>Yes</x:v>
      </x:c>
      <x:c r="S20" s="20" t="str">
        <x:v>100 × 100 pattern is still assumed.</x:v>
      </x:c>
    </x:row>
    <x:row r="21" ht="42" customHeight="1">
      <x:c r="A21" s="19" t="str">
        <x:v>SC-014</x:v>
      </x:c>
      <x:c r="B21" s="19" t="str">
        <x:v>Upper right</x:v>
      </x:c>
      <x:c r="C21" s="19" t="str">
        <x:v>Keep-out</x:v>
      </x:c>
      <x:c r="D21" s="19" t="str">
        <x:v>Radar module / field path</x:v>
      </x:c>
      <x:c r="E21" s="19" t="n">
        <x:v>1</x:v>
      </x:c>
      <x:c r="F21" s="39" t="n">
        <x:v>145</x:v>
      </x:c>
      <x:c r="G21" s="39" t="n">
        <x:v>252</x:v>
      </x:c>
      <x:c r="H21" s="39" t="n">
        <x:v>5</x:v>
      </x:c>
      <x:c r="I21" s="39" t="n">
        <x:v>80</x:v>
      </x:c>
      <x:c r="J21" s="39" t="n">
        <x:v>20</x:v>
      </x:c>
      <x:c r="K21" s="39" t="n">
        <x:v>10</x:v>
      </x:c>
      <x:c r="L21" s="39" t="n">
        <x:f>I21*J21*K21</x:f>
        <x:v>16000</x:v>
      </x:c>
      <x:c r="M21" s="39" t="n">
        <x:f>L21*E21</x:f>
        <x:v>16000</x:v>
      </x:c>
      <x:c r="N21" s="37" t="str">
        <x:f>IF(AND(ABS(F21)+I21/2&lt;=$A$5/2,ABS(G21)+J21/2&lt;=$B$5/2,H21-K21/2&gt;=0,H21+K21/2&lt;=$C$5),"Pass","Fail")</x:f>
        <x:v>Pass</x:v>
      </x:c>
      <x:c r="O21" s="21" t="str">
        <x:v>Keep-out</x:v>
      </x:c>
      <x:c r="P21" s="19" t="str">
        <x:v>MP-042</x:v>
      </x:c>
      <x:c r="Q21" s="19" t="str">
        <x:v>A-024</x:v>
      </x:c>
      <x:c r="R21" s="19" t="str">
        <x:v>Yes</x:v>
      </x:c>
      <x:c r="S21" s="19" t="str">
        <x:v>Separate forward sensor field path.</x:v>
      </x:c>
    </x:row>
    <x:row r="22" ht="42" customHeight="1">
      <x:c r="A22" s="20" t="str">
        <x:v>SC-015</x:v>
      </x:c>
      <x:c r="B22" s="20" t="str">
        <x:v>Upper left</x:v>
      </x:c>
      <x:c r="C22" s="20" t="str">
        <x:v>Keep-out</x:v>
      </x:c>
      <x:c r="D22" s="20" t="str">
        <x:v>Ambient-light sensor path</x:v>
      </x:c>
      <x:c r="E22" s="20" t="n">
        <x:v>1</x:v>
      </x:c>
      <x:c r="F22" s="38" t="n">
        <x:v>-145</x:v>
      </x:c>
      <x:c r="G22" s="38" t="n">
        <x:v>252</x:v>
      </x:c>
      <x:c r="H22" s="38" t="n">
        <x:v>5</x:v>
      </x:c>
      <x:c r="I22" s="38" t="n">
        <x:v>20</x:v>
      </x:c>
      <x:c r="J22" s="38" t="n">
        <x:v>20</x:v>
      </x:c>
      <x:c r="K22" s="38" t="n">
        <x:v>10</x:v>
      </x:c>
      <x:c r="L22" s="38" t="n">
        <x:f>I22*J22*K22</x:f>
        <x:v>4000</x:v>
      </x:c>
      <x:c r="M22" s="38" t="n">
        <x:f>L22*E22</x:f>
        <x:v>4000</x:v>
      </x:c>
      <x:c r="N22" s="37" t="str">
        <x:f>IF(AND(ABS(F22)+I22/2&lt;=$A$5/2,ABS(G22)+J22/2&lt;=$B$5/2,H22-K22/2&gt;=0,H22+K22/2&lt;=$C$5),"Pass","Fail")</x:f>
        <x:v>Pass</x:v>
      </x:c>
      <x:c r="O22" s="21" t="str">
        <x:v>Keep-out</x:v>
      </x:c>
      <x:c r="P22" s="20" t="str">
        <x:v>MP-043; MP-044</x:v>
      </x:c>
      <x:c r="Q22" s="20" t="str">
        <x:v>A-025</x:v>
      </x:c>
      <x:c r="R22" s="20" t="str">
        <x:v>Yes</x:v>
      </x:c>
      <x:c r="S22" s="20" t="str">
        <x:v>Conditional product feature.</x:v>
      </x:c>
    </x:row>
    <x:row r="23" ht="42" customHeight="1">
      <x:c r="A23" s="19" t="str">
        <x:v>SC-016</x:v>
      </x:c>
      <x:c r="B23" s="19" t="str">
        <x:v>Rear left/right</x:v>
      </x:c>
      <x:c r="C23" s="19" t="str">
        <x:v>Keep-out</x:v>
      </x:c>
      <x:c r="D23" s="19" t="str">
        <x:v>Wi-Fi / BLE antenna keep-outs</x:v>
      </x:c>
      <x:c r="E23" s="19" t="n">
        <x:v>2</x:v>
      </x:c>
      <x:c r="F23" s="39" t="n">
        <x:v>-340</x:v>
      </x:c>
      <x:c r="G23" s="39" t="n">
        <x:v>0</x:v>
      </x:c>
      <x:c r="H23" s="39" t="n">
        <x:v>76</x:v>
      </x:c>
      <x:c r="I23" s="39" t="n">
        <x:v>60</x:v>
      </x:c>
      <x:c r="J23" s="39" t="n">
        <x:v>15</x:v>
      </x:c>
      <x:c r="K23" s="39" t="n">
        <x:v>8</x:v>
      </x:c>
      <x:c r="L23" s="39" t="n">
        <x:f>I23*J23*K23</x:f>
        <x:v>7200</x:v>
      </x:c>
      <x:c r="M23" s="39" t="n">
        <x:f>L23*E23</x:f>
        <x:v>14400</x:v>
      </x:c>
      <x:c r="N23" s="37" t="str">
        <x:f>IF(AND(ABS(F23)+I23/2&lt;=$A$5/2,ABS(G23)+J23/2&lt;=$B$5/2,H23-K23/2&gt;=0,H23+K23/2&lt;=$C$5),"Pass","Fail")</x:f>
        <x:v>Pass</x:v>
      </x:c>
      <x:c r="O23" s="21" t="str">
        <x:v>Keep-out</x:v>
      </x:c>
      <x:c r="P23" s="19" t="str">
        <x:v>MP-040; MP-041</x:v>
      </x:c>
      <x:c r="Q23" s="19" t="str">
        <x:v>A-027</x:v>
      </x:c>
      <x:c r="R23" s="19" t="str">
        <x:v>Yes</x:v>
      </x:c>
      <x:c r="S23" s="19" t="str">
        <x:v>Mirrored location; preserve RF clearance.</x:v>
      </x:c>
    </x:row>
    <x:row r="24" ht="42" customHeight="1">
      <x:c r="A24" s="20" t="str">
        <x:v>SC-017</x:v>
      </x:c>
      <x:c r="B24" s="20" t="str">
        <x:v>Upper/lower rear</x:v>
      </x:c>
      <x:c r="C24" s="20" t="str">
        <x:v>Keep-out</x:v>
      </x:c>
      <x:c r="D24" s="20" t="str">
        <x:v>Vent paths</x:v>
      </x:c>
      <x:c r="E24" s="20" t="n">
        <x:v>2</x:v>
      </x:c>
      <x:c r="F24" s="38" t="n">
        <x:v>0</x:v>
      </x:c>
      <x:c r="G24" s="38" t="n">
        <x:v>250</x:v>
      </x:c>
      <x:c r="H24" s="38" t="n">
        <x:v>75</x:v>
      </x:c>
      <x:c r="I24" s="38" t="n">
        <x:v>400</x:v>
      </x:c>
      <x:c r="J24" s="38" t="n">
        <x:v>20</x:v>
      </x:c>
      <x:c r="K24" s="38" t="n">
        <x:v>10</x:v>
      </x:c>
      <x:c r="L24" s="38" t="n">
        <x:f>I24*J24*K24</x:f>
        <x:v>80000</x:v>
      </x:c>
      <x:c r="M24" s="38" t="n">
        <x:f>L24*E24</x:f>
        <x:v>160000</x:v>
      </x:c>
      <x:c r="N24" s="37" t="str">
        <x:f>IF(AND(ABS(F24)+I24/2&lt;=$A$5/2,ABS(G24)+J24/2&lt;=$B$5/2,H24-K24/2&gt;=0,H24+K24/2&lt;=$C$5),"Pass","Fail")</x:f>
        <x:v>Pass</x:v>
      </x:c>
      <x:c r="O24" s="21" t="str">
        <x:v>Keep-out</x:v>
      </x:c>
      <x:c r="P24" s="20" t="str">
        <x:v>MP-093–MP-095</x:v>
      </x:c>
      <x:c r="Q24" s="20" t="str">
        <x:v>A-028</x:v>
      </x:c>
      <x:c r="R24" s="20" t="str">
        <x:v>Yes</x:v>
      </x:c>
      <x:c r="S24" s="20" t="str">
        <x:v>Mirrored upper/lower passive-convection path.</x:v>
      </x:c>
    </x:row>
    <x:row r="25" ht="42" customHeight="1">
      <x:c r="A25" s="19" t="str">
        <x:v>SC-018</x:v>
      </x:c>
      <x:c r="B25" s="19" t="str">
        <x:v>Lower right</x:v>
      </x:c>
      <x:c r="C25" s="19" t="str">
        <x:v>Keep-out</x:v>
      </x:c>
      <x:c r="D25" s="19" t="str">
        <x:v>USB-C cable / service sweep</x:v>
      </x:c>
      <x:c r="E25" s="19" t="n">
        <x:v>1</x:v>
      </x:c>
      <x:c r="F25" s="39" t="n">
        <x:v>260</x:v>
      </x:c>
      <x:c r="G25" s="39" t="n">
        <x:v>-205</x:v>
      </x:c>
      <x:c r="H25" s="39" t="n">
        <x:v>40</x:v>
      </x:c>
      <x:c r="I25" s="39" t="n">
        <x:v>120</x:v>
      </x:c>
      <x:c r="J25" s="39" t="n">
        <x:v>75</x:v>
      </x:c>
      <x:c r="K25" s="39" t="n">
        <x:v>40</x:v>
      </x:c>
      <x:c r="L25" s="39" t="n">
        <x:f>I25*J25*K25</x:f>
        <x:v>360000</x:v>
      </x:c>
      <x:c r="M25" s="39" t="n">
        <x:f>L25*E25</x:f>
        <x:v>360000</x:v>
      </x:c>
      <x:c r="N25" s="37" t="str">
        <x:f>IF(AND(ABS(F25)+I25/2&lt;=$A$5/2,ABS(G25)+J25/2&lt;=$B$5/2,H25-K25/2&gt;=0,H25+K25/2&lt;=$C$5),"Pass","Fail")</x:f>
        <x:v>Pass</x:v>
      </x:c>
      <x:c r="O25" s="21" t="str">
        <x:v>Review</x:v>
      </x:c>
      <x:c r="P25" s="19" t="str">
        <x:v>MP-035; MP-036; MP-039</x:v>
      </x:c>
      <x:c r="Q25" s="19" t="str">
        <x:v>A-029</x:v>
      </x:c>
      <x:c r="R25" s="19" t="str">
        <x:v>Yes</x:v>
      </x:c>
      <x:c r="S25" s="19" t="str">
        <x:v>Replace with selected cable bend radius.</x:v>
      </x:c>
    </x:row>
    <x:row r="28">
      <x:c r="A28" s="51" t="str">
        <x:v>Metric</x:v>
      </x:c>
      <x:c r="B28" s="51" t="str">
        <x:v>Result</x:v>
      </x:c>
    </x:row>
    <x:row r="29">
      <x:c r="A29" s="52" t="str">
        <x:v>Head envelope volume</x:v>
      </x:c>
      <x:c r="B29" s="53" t="n">
        <x:f>$A$5*$B$5*$C$5</x:f>
        <x:v>32832000</x:v>
      </x:c>
    </x:row>
    <x:row r="30">
      <x:c r="A30" s="52" t="str">
        <x:v>Hard-package claim volume</x:v>
      </x:c>
      <x:c r="B30" s="53" t="n">
        <x:f>SUMIF(C8:C25,"Hard package",M8:M25)</x:f>
        <x:v>8254600</x:v>
      </x:c>
    </x:row>
    <x:row r="31">
      <x:c r="A31" s="45" t="str">
        <x:v>Approx. envelope reserve ratio</x:v>
      </x:c>
      <x:c r="B31" s="54" t="n">
        <x:f>(B29-B30)/B29</x:f>
        <x:v>0.7485806530214425</x:v>
      </x:c>
    </x:row>
  </x:sheetData>
  <x:mergeCells>
    <x:mergeCell ref="A1:S1"/>
    <x:mergeCell ref="A2:S2"/>
  </x:mergeCells>
  <x:pageMargins left="0.7" right="0.7" top="0.75" bottom="0.75" header="0.3" footer="0.3"/>
</x:worksheet>
</file>